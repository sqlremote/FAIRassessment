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12.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15.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3.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17.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coring" sheetId="2" state="visible" r:id="rId4"/>
    <sheet name="Tenant &amp; admin enablement" sheetId="3" state="visible" r:id="rId5"/>
    <sheet name="Capacity, SKU, region &amp; cost" sheetId="4" state="visible" r:id="rId6"/>
    <sheet name="Workspace &amp; item governance" sheetId="5" state="visible" r:id="rId7"/>
    <sheet name="AI data schema &amp; scope reductio" sheetId="6" state="visible" r:id="rId8"/>
    <sheet name="Semantic model structure" sheetId="7" state="visible" r:id="rId9"/>
    <sheet name="Names, descriptions &amp; linguisti" sheetId="8" state="visible" r:id="rId10"/>
    <sheet name="Measures &amp; DAX" sheetId="9" state="visible" r:id="rId11"/>
    <sheet name="Data types &amp; data quality" sheetId="10" state="visible" r:id="rId12"/>
    <sheet name="Security, RLS &amp; compliance" sheetId="11" state="visible" r:id="rId13"/>
    <sheet name="Verified answers" sheetId="12" state="visible" r:id="rId14"/>
    <sheet name="AI instructions" sheetId="13" state="visible" r:id="rId15"/>
    <sheet name="Fabric data agent configuration" sheetId="14" state="visible" r:id="rId16"/>
    <sheet name="Performance &amp; query efficiency" sheetId="15" state="visible" r:id="rId17"/>
    <sheet name="Response validity &amp; relevance" sheetId="16" state="visible" r:id="rId18"/>
    <sheet name="Operations, ALM &amp; adoption" sheetId="17" state="visible" r:id="rId19"/>
    <sheet name="All rules" sheetId="18" state="visible" r:id="rId20"/>
    <sheet name="Limits" sheetId="19" state="visible" r:id="rId21"/>
    <sheet name="Sources" sheetId="20" state="visible" r:id="rId22"/>
  </sheets>
  <definedNames>
    <definedName function="false" hidden="true" localSheetId="5" name="_xlnm._FilterDatabase" vbProcedure="false">'AI data schema &amp; scope reductio'!$A$2:$R$23</definedName>
    <definedName function="false" hidden="true" localSheetId="12" name="_xlnm._FilterDatabase" vbProcedure="false">'AI instructions'!$A$2:$R$7</definedName>
    <definedName function="false" hidden="true" localSheetId="17" name="_xlnm._FilterDatabase" vbProcedure="false">'All rules'!$A$2:$R$141</definedName>
    <definedName function="false" hidden="true" localSheetId="3" name="_xlnm._FilterDatabase" vbProcedure="false">'Capacity, SKU, region &amp; cost'!$A$2:$R$8</definedName>
    <definedName function="false" hidden="true" localSheetId="9" name="_xlnm._FilterDatabase" vbProcedure="false">'Data types &amp; data quality'!$A$2:$R$7</definedName>
    <definedName function="false" hidden="true" localSheetId="13" name="_xlnm._FilterDatabase" vbProcedure="false">'Fabric data agent configuration'!$A$2:$R$12</definedName>
    <definedName function="false" hidden="true" localSheetId="18" name="_xlnm._FilterDatabase" vbProcedure="false">Limits!$A$3:$H$20</definedName>
    <definedName function="false" hidden="true" localSheetId="8" name="_xlnm._FilterDatabase" vbProcedure="false">'Measures &amp; DAX'!$A$2:$R$14</definedName>
    <definedName function="false" hidden="true" localSheetId="7" name="_xlnm._FilterDatabase" vbProcedure="false">'Names, descriptions &amp; linguisti'!$A$2:$R$12</definedName>
    <definedName function="false" hidden="true" localSheetId="16" name="_xlnm._FilterDatabase" vbProcedure="false">'Operations, ALM &amp; adoption'!$A$2:$R$9</definedName>
    <definedName function="false" hidden="true" localSheetId="14" name="_xlnm._FilterDatabase" vbProcedure="false">'Performance &amp; query efficiency'!$A$2:$R$10</definedName>
    <definedName function="false" hidden="true" localSheetId="15" name="_xlnm._FilterDatabase" vbProcedure="false">'Response validity &amp; relevance'!$A$2:$R$15</definedName>
    <definedName function="false" hidden="true" localSheetId="10" name="_xlnm._FilterDatabase" vbProcedure="false">'Security, RLS &amp; compliance'!$A$2:$R$10</definedName>
    <definedName function="false" hidden="true" localSheetId="6" name="_xlnm._FilterDatabase" vbProcedure="false">'Semantic model structure'!$A$2:$R$12</definedName>
    <definedName function="false" hidden="true" localSheetId="2" name="_xlnm._FilterDatabase" vbProcedure="false">'Tenant &amp; admin enablement'!$A$2:$R$11</definedName>
    <definedName function="false" hidden="true" localSheetId="11" name="_xlnm._FilterDatabase" vbProcedure="false">'Verified answers'!$A$2:$R$9</definedName>
    <definedName function="false" hidden="true" localSheetId="4" name="_xlnm._FilterDatabase" vbProcedure="false">'Workspace &amp; item governance'!$A$2:$R$9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<sst xmlns="http://schemas.openxmlformats.org/spreadsheetml/2006/main" count="4280" uniqueCount="1289">
  <si>
    <t xml:space="preserve">Fabric AI Readiness Assessment</t>
  </si>
  <si>
    <t xml:space="preserve">Rule pack version</t>
  </si>
  <si>
    <t xml:space="preserve">2026.09.1</t>
  </si>
  <si>
    <t xml:space="preserve">Spec version</t>
  </si>
  <si>
    <t xml:space="preserve">1.0.0</t>
  </si>
  <si>
    <t xml:space="preserve">Rules</t>
  </si>
  <si>
    <t xml:space="preserve">Updated</t>
  </si>
  <si>
    <t xml:space="preserve">2026-09-10</t>
  </si>
  <si>
    <t xml:space="preserve">Purpose</t>
  </si>
  <si>
    <t xml:space="preserve">Config-driven rule pack measuring enablement, usage, response validity/relevance and performance posture for Power BI Copilot and Microsoft Fabric data agents. Designed so that AI query generation is narrowly scoped and grounded rather than broad-scanning an unconstrained schema.</t>
  </si>
  <si>
    <t xml:space="preserve">HOW TO USE</t>
  </si>
  <si>
    <t xml:space="preserve">1</t>
  </si>
  <si>
    <t xml:space="preserve">Work through one area tab at a time. Each row is one rule.</t>
  </si>
  <si>
    <t xml:space="preserve">2</t>
  </si>
  <si>
    <t xml:space="preserve">Set the yellow Result cell on every row: pass, partial, fail, na, or unknown.</t>
  </si>
  <si>
    <t xml:space="preserve">3</t>
  </si>
  <si>
    <t xml:space="preserve">Record where the evidence lives, who owns the fix, and the target date in the other yellow cells.</t>
  </si>
  <si>
    <t xml:space="preserve">4</t>
  </si>
  <si>
    <t xml:space="preserve">The Scoring tab recalculates live. Read the overall score and maturity level there.</t>
  </si>
  <si>
    <t xml:space="preserve">5</t>
  </si>
  <si>
    <t xml:space="preserve">Any blocker rule left at fail or unknown gates the maturity level at 0 regardless of score.</t>
  </si>
  <si>
    <t xml:space="preserve">EDIT ONLY THE YELLOW CELLS</t>
  </si>
  <si>
    <t xml:space="preserve">Every other cell restates the rule and should not be changed here. To change a rule, edit AssessmentRules.json and regenerate this workbook.</t>
  </si>
  <si>
    <t xml:space="preserve">THIS IS A VIEW, NOT THE SOURCE</t>
  </si>
  <si>
    <t xml:space="preserve">AssessmentRules.json is the source of truth. Add your own rules to rules/custom/*.json and rebuild.</t>
  </si>
  <si>
    <t xml:space="preserve">RESULT STATES</t>
  </si>
  <si>
    <t xml:space="preserve">pass</t>
  </si>
  <si>
    <t xml:space="preserve">Requirement met and evidenced. (credit 1.0)</t>
  </si>
  <si>
    <t xml:space="preserve">partial</t>
  </si>
  <si>
    <t xml:space="preserve">Partially met, e.g. applied to some models/agents but not all in scope. (credit 0.5)</t>
  </si>
  <si>
    <t xml:space="preserve">fail</t>
  </si>
  <si>
    <t xml:space="preserve">Requirement not met. (credit 0.0)</t>
  </si>
  <si>
    <t xml:space="preserve">na</t>
  </si>
  <si>
    <t xml:space="preserve">Out of scope for this estate; removed from both numerator and denominator. (excluded from scoring)</t>
  </si>
  <si>
    <t xml:space="preserve">unknown</t>
  </si>
  <si>
    <t xml:space="preserve">Not yet assessed. Scored as fail but reported separately as assessment debt. (credit 0.0)</t>
  </si>
  <si>
    <t xml:space="preserve">SEVERITY WEIGHTS</t>
  </si>
  <si>
    <t xml:space="preserve">blocker</t>
  </si>
  <si>
    <t xml:space="preserve">weight 13 - GATES the maturity level. AI features cannot function or cannot be trusted at all until fixed. A failed blocker caps overall maturity at Not Ready.</t>
  </si>
  <si>
    <t xml:space="preserve">critical</t>
  </si>
  <si>
    <t xml:space="preserve">weight 8. Materially wrong answers, security exposure, or severe cost/latency. Fix before broad rollout.</t>
  </si>
  <si>
    <t xml:space="preserve">high</t>
  </si>
  <si>
    <t xml:space="preserve">weight 5. Frequent ambiguity, degraded relevance, or avoidable capacity burn.</t>
  </si>
  <si>
    <t xml:space="preserve">medium</t>
  </si>
  <si>
    <t xml:space="preserve">weight 3. Noticeable quality or efficiency loss; fix during hardening.</t>
  </si>
  <si>
    <t xml:space="preserve">low</t>
  </si>
  <si>
    <t xml:space="preserve">weight 1. Polish and consistency; improves long-run maintainability.</t>
  </si>
  <si>
    <t xml:space="preserve">BASIS COLUMN</t>
  </si>
  <si>
    <t xml:space="preserve">documented</t>
  </si>
  <si>
    <t xml:space="preserve">Stated in a cited source. Treat the threshold as authoritative but re-verify against current docs.</t>
  </si>
  <si>
    <t xml:space="preserve">inferred</t>
  </si>
  <si>
    <t xml:space="preserve">Engineering judgement built on cited platform behaviour. Calibrate to your own risk appetite.</t>
  </si>
  <si>
    <t xml:space="preserve">community</t>
  </si>
  <si>
    <t xml:space="preserve">Unofficial. Verify before relying on it.</t>
  </si>
  <si>
    <t xml:space="preserve">Readiness score</t>
  </si>
  <si>
    <t xml:space="preserve">Area</t>
  </si>
  <si>
    <t xml:space="preserve">Score %</t>
  </si>
  <si>
    <t xml:space="preserve">Weight</t>
  </si>
  <si>
    <t xml:space="preserve">Pass</t>
  </si>
  <si>
    <t xml:space="preserve">Partial</t>
  </si>
  <si>
    <t xml:space="preserve">Fail</t>
  </si>
  <si>
    <t xml:space="preserve">N/A</t>
  </si>
  <si>
    <t xml:space="preserve">Unknown</t>
  </si>
  <si>
    <t xml:space="preserve">Earned</t>
  </si>
  <si>
    <t xml:space="preserve">Possible</t>
  </si>
  <si>
    <t xml:space="preserve">Tenant &amp; admin enablement</t>
  </si>
  <si>
    <t xml:space="preserve">Capacity, SKU, region &amp; cost</t>
  </si>
  <si>
    <t xml:space="preserve">Workspace &amp; item governance</t>
  </si>
  <si>
    <t xml:space="preserve">AI data schema &amp; scope reduction</t>
  </si>
  <si>
    <t xml:space="preserve">Semantic model structure</t>
  </si>
  <si>
    <t xml:space="preserve">Names, descriptions &amp; linguistics</t>
  </si>
  <si>
    <t xml:space="preserve">Measures &amp; DAX</t>
  </si>
  <si>
    <t xml:space="preserve">Data types &amp; data quality</t>
  </si>
  <si>
    <t xml:space="preserve">Security, RLS &amp; compliance</t>
  </si>
  <si>
    <t xml:space="preserve">Verified answers</t>
  </si>
  <si>
    <t xml:space="preserve">AI instructions</t>
  </si>
  <si>
    <t xml:space="preserve">Fabric data agent configuration</t>
  </si>
  <si>
    <t xml:space="preserve">Performance &amp; query efficiency</t>
  </si>
  <si>
    <t xml:space="preserve">Response validity &amp; relevance</t>
  </si>
  <si>
    <t xml:space="preserve">Operations, ALM &amp; adoption</t>
  </si>
  <si>
    <t xml:space="preserve">OVERALL (weighted)</t>
  </si>
  <si>
    <t xml:space="preserve">Blocker rules not met</t>
  </si>
  <si>
    <t xml:space="preserve">Maturity level</t>
  </si>
  <si>
    <t xml:space="preserve">Gate rule</t>
  </si>
  <si>
    <t xml:space="preserve">Any blocker rule left at fail or unknown forces the maturity level to Not Ready, whatever the numeric score. There are 8 blocker rules in this pack.</t>
  </si>
  <si>
    <t xml:space="preserve">Bands</t>
  </si>
  <si>
    <t xml:space="preserve">Not Ready 0-39.99  |  Foundational 40-59.99  |  Operational 60-74.99  |  Optimized 75-89.99  |  AI-Ready 90-100</t>
  </si>
  <si>
    <t xml:space="preserve">Tenant &amp; admin enablement  -  9 rules, area weight 10</t>
  </si>
  <si>
    <t xml:space="preserve">Fill the yellow cells only. Result must be one of: unknown, pass, partial, fail, na</t>
  </si>
  <si>
    <t xml:space="preserve">Rule ID</t>
  </si>
  <si>
    <t xml:space="preserve">Title</t>
  </si>
  <si>
    <t xml:space="preserve">Severity</t>
  </si>
  <si>
    <t xml:space="preserve">Type</t>
  </si>
  <si>
    <t xml:space="preserve">Applies to</t>
  </si>
  <si>
    <t xml:space="preserve">Requirement</t>
  </si>
  <si>
    <t xml:space="preserve">Why it matters</t>
  </si>
  <si>
    <t xml:space="preserve">Hard limit</t>
  </si>
  <si>
    <t xml:space="preserve">How to check</t>
  </si>
  <si>
    <t xml:space="preserve">Remediation</t>
  </si>
  <si>
    <t xml:space="preserve">If not fixed</t>
  </si>
  <si>
    <t xml:space="preserve">Source</t>
  </si>
  <si>
    <t xml:space="preserve">Basis</t>
  </si>
  <si>
    <t xml:space="preserve">Result</t>
  </si>
  <si>
    <t xml:space="preserve">Evidence / link</t>
  </si>
  <si>
    <t xml:space="preserve">Owner</t>
  </si>
  <si>
    <t xml:space="preserve">Due date</t>
  </si>
  <si>
    <t xml:space="preserve">Notes</t>
  </si>
  <si>
    <t xml:space="preserve">_weight</t>
  </si>
  <si>
    <t xml:space="preserve">TEN-001</t>
  </si>
  <si>
    <t xml:space="preserve">Copilot / Azure OpenAI tenant switch is enabled for the intended audience</t>
  </si>
  <si>
    <t xml:space="preserve">enablement</t>
  </si>
  <si>
    <t xml:space="preserve">copilot-powerbi, fabric-data-agent</t>
  </si>
  <si>
    <t xml:space="preserve">The tenant setting 'Users can use Copilot and other features powered by Azure OpenAI' must be enabled, scoped either to the whole organization or to the specific security groups that are in scope for AI.</t>
  </si>
  <si>
    <t xml:space="preserve">This is the master switch. Every downstream Copilot and data agent experience depends on it.</t>
  </si>
  <si>
    <t xml:space="preserve">(admin-portal) Fabric Admin Portal &gt; Tenant settings &gt; Copilot and Agent. Record state and the security groups it is scoped to.  [expected: enabled]</t>
  </si>
  <si>
    <t xml:space="preserve">Enable the setting and scope it to the AI pilot security group rather than the entire organization, so that usage and capacity burn stay attributable during rollout.</t>
  </si>
  <si>
    <t xml:space="preserve">No Copilot or data agent functionality at all.</t>
  </si>
  <si>
    <t xml:space="preserve">Enable Fabric Copilot for Power BI; Copilot and Agent admin settings; Configure Fabric data agent tenant settings</t>
  </si>
  <si>
    <t xml:space="preserve">Microsoft docs are inconsistent on the default state of this switch: the Copilot and Agent admin settings page and the Power BI enablement page describe it as enabled by default, while the data agent tenant settings page lists it as off. Do not assume - read the actual tenant state and record it as evidence.</t>
  </si>
  <si>
    <t xml:space="preserve">TEN-002</t>
  </si>
  <si>
    <t xml:space="preserve">Cross-geo processing switch matches the capacity's region</t>
  </si>
  <si>
    <t xml:space="preserve">If the Fabric capacity is outside the US regions and the EU Data Boundary, the tenant setting 'Data sent to Azure OpenAI can be processed outside your capacity's geographic region, compliance boundary, or national cloud instance' must be enabled, and that decision must be signed off by the data-residency owner.</t>
  </si>
  <si>
    <t xml:space="preserve">Azure OpenAI is deployed in US datacenters and the EU Data Boundary only. UK capacities route to the EU boundary; Australia, Brazil, Canada, India, Asia, Japan, Korea, South Africa, Southeast Asia and UAE route to the US. Without the switch, Copilot simply does not work in those regions.</t>
  </si>
  <si>
    <t xml:space="preserve">(admin-portal) Determine the capacity's region, then check the cross-geo processing tenant setting. Record both, plus the residency sign-off reference.  [expected: enabled when capacity region is outside US and EU Data Boundary]</t>
  </si>
  <si>
    <t xml:space="preserve">Either enable cross-geo processing with documented residency approval, or relocate the capacity into a region where Azure OpenAI is served locally.</t>
  </si>
  <si>
    <t xml:space="preserve">Copilot requests fail in-region; users experience errors rather than degraded answers.</t>
  </si>
  <si>
    <t xml:space="preserve">Overview of Copilot in Fabric; Copilot and Agent admin settings</t>
  </si>
  <si>
    <t xml:space="preserve">TEN-003</t>
  </si>
  <si>
    <t xml:space="preserve">Cross-geo storage and conversation-history switches are a deliberate decision</t>
  </si>
  <si>
    <t xml:space="preserve">governance</t>
  </si>
  <si>
    <t xml:space="preserve">fabric-data-agent, copilot-notebooks</t>
  </si>
  <si>
    <t xml:space="preserve">For tenants outside the EU Data Boundary and US, the settings 'Data sent to Azure OpenAI can be stored outside...' and 'Conversation history stored outside your capacity's geographic region...' must be explicitly decided - enabled with residency approval, or accepted as disabled with the loss of multi-session context understood.</t>
  </si>
  <si>
    <t xml:space="preserve">Conversation history is what gives agentic experiences memory across sessions; it is retained 28 days unless a user deletes it. Leaving these off outside EU/US silently degrades multi-turn quality.</t>
  </si>
  <si>
    <t xml:space="preserve">28 days (hard)</t>
  </si>
  <si>
    <t xml:space="preserve">(admin-portal) Record both switch states and the documented decision. Both default to disabled.  [expected: documented decision]</t>
  </si>
  <si>
    <t xml:space="preserve">Record the decision in the AI governance register. If disabled, set user expectations that each session starts cold.</t>
  </si>
  <si>
    <t xml:space="preserve">Agents lose cross-session context; users repeat themselves and blame the agent for forgetting.</t>
  </si>
  <si>
    <t xml:space="preserve">Copilot and Agent admin settings; Configure Fabric data agent tenant settings; Overview of Copilot in Fabric</t>
  </si>
  <si>
    <t xml:space="preserve">TEN-004</t>
  </si>
  <si>
    <t xml:space="preserve">'Only show approved items in the standalone Copilot' is enabled once an approval process exists</t>
  </si>
  <si>
    <t xml:space="preserve">copilot-powerbi</t>
  </si>
  <si>
    <t xml:space="preserve">Once the organization has a working 'Approved for Copilot' review process, the tenant setting 'Only show approved items in the standalone Copilot in Power BI experience' should be enabled so standalone Copilot searches only curated content.</t>
  </si>
  <si>
    <t xml:space="preserve">This is the single most effective lever against the ad-hoc-scan behaviour: it stops standalone Copilot from ranging across every semantic model in the tenant and restricts it to models that have actually been prepared for AI.</t>
  </si>
  <si>
    <t xml:space="preserve">(admin-portal) Check the tenant setting state, and confirm at least one model has been marked Approved for Copilot.  [expected: enabled]</t>
  </si>
  <si>
    <t xml:space="preserve">Stand up the approval review first (see WSP-004), then flip this switch. Enabling it with zero approved items makes standalone Copilot return nothing.</t>
  </si>
  <si>
    <t xml:space="preserve">Standalone Copilot searches unprepared models and produces confident answers from models nobody has validated.</t>
  </si>
  <si>
    <t xml:space="preserve">Copilot and Agent admin settings; Enable Fabric Copilot for Power BI</t>
  </si>
  <si>
    <t xml:space="preserve">TEN-005</t>
  </si>
  <si>
    <t xml:space="preserve">Standalone Copilot experience switch state is intentional</t>
  </si>
  <si>
    <t xml:space="preserve">The setting 'Users can access a standalone, cross-item Copilot in Power BI experience' must be explicitly set on or off with a recorded rationale, not left at whatever the default happens to be.</t>
  </si>
  <si>
    <t xml:space="preserve">Standalone Copilot has the broadest blast radius of any Copilot surface because it is not anchored to one report. It also depends on the parent Azure OpenAI switch and is unavailable in Spain Central, Qatar, India-West and Mexico.</t>
  </si>
  <si>
    <t xml:space="preserve">(admin-portal) Record switch state, target groups, and the rationale. Confirm the tenant home region is not one of the unsupported regions.  [expected: documented decision]</t>
  </si>
  <si>
    <t xml:space="preserve">Keep it off until model preparation and approval reach Optimized maturity, then enable narrowly.</t>
  </si>
  <si>
    <t xml:space="preserve">Broad, ungrounded question surface exposed before models are ready.</t>
  </si>
  <si>
    <t xml:space="preserve">Copilot and Agent admin settings; Prepare your data for AI to improve Copilot results (preview)</t>
  </si>
  <si>
    <t xml:space="preserve">TEN-006</t>
  </si>
  <si>
    <t xml:space="preserve">Fabric Copilot capacity designation is configured for cost attribution</t>
  </si>
  <si>
    <t xml:space="preserve">If Copilot cost needs to be isolated from analytical workloads, the setting 'Capacities can be designated as Copilot in Fabric capacities' must be enabled and a dedicated Copilot capacity assigned.</t>
  </si>
  <si>
    <t xml:space="preserve">Copilot consumes the same CU pool as everything else. A dedicated Copilot capacity consolidates AI billing and prevents AI spikes from throttling refreshes and report queries.</t>
  </si>
  <si>
    <t xml:space="preserve">(admin-portal) Check the tenant setting, then check whether a capacity is designated and which users or groups are assigned to it.  [expected: designated capacity or documented decision not to]</t>
  </si>
  <si>
    <t xml:space="preserve">Designate a Copilot capacity and assign the AI audience to it, so AI Query operations are separately visible in the Capacity Metrics app.</t>
  </si>
  <si>
    <t xml:space="preserve">AI consumption is indistinguishable from BI consumption; throttling incidents cannot be attributed.</t>
  </si>
  <si>
    <t xml:space="preserve">Copilot and Agent admin settings; Configure Fabric data agent tenant settings; Enable Fabric Copilot for Power BI</t>
  </si>
  <si>
    <t xml:space="preserve">TEN-007</t>
  </si>
  <si>
    <t xml:space="preserve">Capacity-level Copilot delegation is reviewed, not just tenant settings</t>
  </si>
  <si>
    <t xml:space="preserve">Delegated tenant settings on each in-scope capacity must be reviewed, because a capacity administrator can enable Copilot at capacity level even where it is disabled at tenant level.</t>
  </si>
  <si>
    <t xml:space="preserve">Reviewing only the tenant page gives a false sense of control. Cross-geo delegation notably does not auto-delegate and must be set per capacity.</t>
  </si>
  <si>
    <t xml:space="preserve">(admin-portal) Admin Portal &gt; Capacity settings &gt; each capacity &gt; Delegated tenant settings. Record any capacity that overrides the tenant position.  [expected: per-capacity review record]</t>
  </si>
  <si>
    <t xml:space="preserve">Audit every capacity's delegated settings and reconcile overrides against the intended tenant policy.</t>
  </si>
  <si>
    <t xml:space="preserve">Shadow Copilot enablement on capacities the AI governance team does not know about.</t>
  </si>
  <si>
    <t xml:space="preserve">Enable Fabric Copilot for Power BI</t>
  </si>
  <si>
    <t xml:space="preserve">TEN-008</t>
  </si>
  <si>
    <t xml:space="preserve">Purview DLP and access-restriction policies are evaluated for AI surfaces</t>
  </si>
  <si>
    <t xml:space="preserve">fabric-data-agent</t>
  </si>
  <si>
    <t xml:space="preserve">Where the tenant is governed by Microsoft Purview, DLP policies for Fabric Data Warehouse and access-restriction policies for KQL Database, SQL Database and Data Warehouse must be reviewed against the data an agent can reach.</t>
  </si>
  <si>
    <t xml:space="preserve">An agent inherits the user's read access; Purview policies are the layer that prevents an otherwise-authorized query from surfacing regulated content in a chat response.</t>
  </si>
  <si>
    <t xml:space="preserve">(manual) List agent data sources, then confirm each has been assessed against active Purview DLP and access-restriction policies.  [expected: assessment record per data source]</t>
  </si>
  <si>
    <t xml:space="preserve">Run a Purview policy review as part of agent intake; block sources that carry regulated data without a policy.</t>
  </si>
  <si>
    <t xml:space="preserve">Regulated data surfaced conversationally with no DLP interception.</t>
  </si>
  <si>
    <t xml:space="preserve">Fabric data agent creation</t>
  </si>
  <si>
    <t xml:space="preserve">TEN-009</t>
  </si>
  <si>
    <t xml:space="preserve">Tenant setting changes are allowed an hour to propagate before troubleshooting</t>
  </si>
  <si>
    <t xml:space="preserve">The runbook must state that Copilot and data agent tenant settings can take up to one hour to take effect, and that troubleshooting should not begin before that window elapses.</t>
  </si>
  <si>
    <t xml:space="preserve">Most 'Copilot is broken after we enabled it' escalations are impatience. Codifying the wait prevents wasted support cycles and premature setting churn.</t>
  </si>
  <si>
    <t xml:space="preserve">1 hours (soft)</t>
  </si>
  <si>
    <t xml:space="preserve">(manual) Confirm the enablement runbook documents the propagation delay.  [expected: documented in runbook]</t>
  </si>
  <si>
    <t xml:space="preserve">Add the one-hour propagation note to the enablement runbook and the support script.</t>
  </si>
  <si>
    <t xml:space="preserve">Settings toggled repeatedly during the propagation window, confusing the audit trail.</t>
  </si>
  <si>
    <t xml:space="preserve">Configure Fabric data agent tenant settings</t>
  </si>
  <si>
    <t xml:space="preserve">Capacity, SKU, region &amp; cost  -  6 rules, area weight 10</t>
  </si>
  <si>
    <t xml:space="preserve">CAP-001</t>
  </si>
  <si>
    <t xml:space="preserve">Capacity meets the minimum paid SKU</t>
  </si>
  <si>
    <t xml:space="preserve">limit</t>
  </si>
  <si>
    <t xml:space="preserve">Every workspace hosting a Copilot-enabled model or a data agent must be on a paid Fabric capacity of F2 or higher, or Power BI Premium P1 or higher with Fabric enabled.</t>
  </si>
  <si>
    <t xml:space="preserve">Trial SKUs are not supported for Azure OpenAI access. This is a hard gate, not a performance recommendation.</t>
  </si>
  <si>
    <t xml:space="preserve">F2 / P1 sku (hard)</t>
  </si>
  <si>
    <t xml:space="preserve">(api) Enumerate in-scope workspaces and their assigned capacity SKU. Flag any on trial, PPU-only, or shared capacity.  [gte F2]</t>
  </si>
  <si>
    <t xml:space="preserve">Move the workspace to a qualifying paid capacity, or assign users to a Fabric Copilot capacity.</t>
  </si>
  <si>
    <t xml:space="preserve">Copilot and data agent features are unavailable regardless of tenant settings.</t>
  </si>
  <si>
    <t xml:space="preserve">Fabric data agent creation; Overview of Copilot in Fabric; Use Copilot with semantic models in Power BI</t>
  </si>
  <si>
    <t xml:space="preserve">CAP-002</t>
  </si>
  <si>
    <t xml:space="preserve">Capacity region is supported and consistent across agent and sources</t>
  </si>
  <si>
    <t xml:space="preserve">The data agent's workspace capacity and every data source workspace capacity must be in the same region, and that region must be one where Fabric AI workloads are available.</t>
  </si>
  <si>
    <t xml:space="preserve">Cross-region source binding fails outright - a Lakehouse on North Europe capacity will not serve an agent whose capacity is in France Central. Sovereign clouds are not supported at all.</t>
  </si>
  <si>
    <t xml:space="preserve">(api) For each agent, list the region of its own capacity and of every bound data source's capacity. All must match.  [expected: identical region across agent and all sources]</t>
  </si>
  <si>
    <t xml:space="preserve">Relocate either the agent workspace or the source workspaces so all sit on same-region capacity.</t>
  </si>
  <si>
    <t xml:space="preserve">Agent creation or query execution fails against the mismatched source.</t>
  </si>
  <si>
    <t xml:space="preserve">Fabric data agent creation; Overview of Copilot in Fabric</t>
  </si>
  <si>
    <t xml:space="preserve">CAP-003</t>
  </si>
  <si>
    <t xml:space="preserve">AI Query consumption is monitored in the Capacity Metrics app</t>
  </si>
  <si>
    <t xml:space="preserve">performance</t>
  </si>
  <si>
    <t xml:space="preserve">fabric-data-agent, copilot-powerbi</t>
  </si>
  <si>
    <t xml:space="preserve">AI Query operations and the LlmPlugin item kind must be actively monitored in the Fabric Capacity Metrics app, with a named owner and a review cadence.</t>
  </si>
  <si>
    <t xml:space="preserve">Data agent requests bill at 100 CU seconds per 1,000 input tokens, 10 CU seconds per 1,000 cached input tokens, and 400 CU seconds per 1,000 output tokens - and the generated SQL/DAX/KQL is billed separately to its own engine on top. Without monitoring, a verbose instruction set silently multiplies cost on every single question.</t>
  </si>
  <si>
    <t xml:space="preserve">inputPer1kTokens=100; cachedInputPer1kTokens=10; outputPer1kTokens=400 CU seconds (hard)</t>
  </si>
  <si>
    <t xml:space="preserve">(metrics) Capacity Metrics app, filter to AI Query operations and the LlmPlugin item kind. Confirm a monitoring owner and cadence exist.  [expected: monitored with named owner]</t>
  </si>
  <si>
    <t xml:space="preserve">Add AI Query to the capacity review pack; alert on week-over-week growth and on the ratio of output to input tokens.</t>
  </si>
  <si>
    <t xml:space="preserve">Unbounded AI spend and eventual capacity-wide throttling that takes refreshes down with it.</t>
  </si>
  <si>
    <t xml:space="preserve">Data agent consumption</t>
  </si>
  <si>
    <t xml:space="preserve">CAP-004</t>
  </si>
  <si>
    <t xml:space="preserve">Throttling risk from AI workloads is assessed against the SKU</t>
  </si>
  <si>
    <t xml:space="preserve">Expected peak AI request volume must be modelled against the capacity's daily CU budget, and the result recorded, before broad rollout.</t>
  </si>
  <si>
    <t xml:space="preserve">Data agent operations run as background jobs which smooth peaks, but once capacity is exhausted all operations shut down - not just AI. An F64 carrying 1,536 CU hours per day supports on the order of 13,800 requests per day before exhaustion; that number falls fast as instructions and conversation history grow.</t>
  </si>
  <si>
    <t xml:space="preserve">(manual) Record the SKU, its daily CU hours, the modelled average tokens per request, and the derived request ceiling. Compare against forecast adoption.  [expected: documented headroom model]</t>
  </si>
  <si>
    <t xml:space="preserve">Model it explicitly, then either size the capacity for the forecast or cap the audience until instruction and schema trimming brings per-request tokens down.</t>
  </si>
  <si>
    <t xml:space="preserve">AI adoption success takes down unrelated Fabric workloads on the same capacity.</t>
  </si>
  <si>
    <t xml:space="preserve">CAP-005</t>
  </si>
  <si>
    <t xml:space="preserve">Private Link and closed-network constraints are checked</t>
  </si>
  <si>
    <t xml:space="preserve">Confirm that in-scope capacities do not depend on Private Link or closed-network configurations that are unsupported for Copilot.</t>
  </si>
  <si>
    <t xml:space="preserve">Copilot is not supported behind Private Link or closed networks. Discovering this after a rollout announcement is expensive.</t>
  </si>
  <si>
    <t xml:space="preserve">(admin-portal) Check tenant and workspace networking configuration for Private Link / closed-network enforcement.  [expected: not enforced for AI-enabled workspaces]</t>
  </si>
  <si>
    <t xml:space="preserve">Carve the AI-enabled workspaces out of the Private Link enforcement scope, or accept that Copilot is unavailable there.</t>
  </si>
  <si>
    <t xml:space="preserve">Copilot silently unavailable despite every switch appearing correct.</t>
  </si>
  <si>
    <t xml:space="preserve">CAP-006</t>
  </si>
  <si>
    <t xml:space="preserve">Workspace outbound access protection boundaries are understood for agents</t>
  </si>
  <si>
    <t xml:space="preserve">Where workspace outbound access protection is in force, the permitted external endpoints must be documented and confirmed sufficient for the agent's data sources.</t>
  </si>
  <si>
    <t xml:space="preserve">Agents operate inside the workspace outbound access protection boundary; an administrator's endpoint allowlist directly determines what the agent can reach.</t>
  </si>
  <si>
    <t xml:space="preserve">(manual) Record outbound access protection state and the allowlisted endpoints for each agent workspace.  [expected: documented]</t>
  </si>
  <si>
    <t xml:space="preserve">Reconcile the endpoint allowlist with the agent's bound sources before go-live.</t>
  </si>
  <si>
    <t xml:space="preserve">Intermittent, hard-to-diagnose source failures.</t>
  </si>
  <si>
    <t xml:space="preserve">Workspace &amp; item governance  -  7 rules, area weight 6</t>
  </si>
  <si>
    <t xml:space="preserve">WSP-001</t>
  </si>
  <si>
    <t xml:space="preserve">AI-enabled workspaces are an explicit, enumerated set</t>
  </si>
  <si>
    <t xml:space="preserve">There must be a maintained register of which workspaces are in scope for Copilot and data agents, rather than AI being implicitly available wherever capacity happens to be assigned.</t>
  </si>
  <si>
    <t xml:space="preserve">Scope control is the foundation of every other rule in this pack. You cannot tune what you have not bounded.</t>
  </si>
  <si>
    <t xml:space="preserve">(manual) Confirm a register exists, is current within the last quarter, and names an owner per workspace.  [expected: current register]</t>
  </si>
  <si>
    <t xml:space="preserve">Publish the register and review it at each capacity review.</t>
  </si>
  <si>
    <t xml:space="preserve">AI surface expands invisibly; assessment results go stale immediately.</t>
  </si>
  <si>
    <t xml:space="preserve">Established semantic modeling / Copilot tuning practice (not a single Microsoft doc)</t>
  </si>
  <si>
    <t xml:space="preserve">WSP-002</t>
  </si>
  <si>
    <t xml:space="preserve">Copilot cannot be enabled per workload - the audience decision is all-or-nothing</t>
  </si>
  <si>
    <t xml:space="preserve">The rollout plan must account for the fact that enabling Copilot in a capacity for a user or security group grants that group all Copilot workloads and experiences; it cannot be enabled for one experience only.</t>
  </si>
  <si>
    <t xml:space="preserve">Teams frequently plan a 'Copilot for Power BI only' pilot that is not technically achievable. The control point is the audience, not the workload.</t>
  </si>
  <si>
    <t xml:space="preserve">(manual) Confirm the rollout plan controls exposure by security group and capacity assignment, not by workload selection.  [expected: audience-based scoping]</t>
  </si>
  <si>
    <t xml:space="preserve">Rewrite the rollout plan around security groups and dedicated capacities.</t>
  </si>
  <si>
    <t xml:space="preserve">Users reach Copilot experiences over unprepared workloads that were never in the pilot scope.</t>
  </si>
  <si>
    <t xml:space="preserve">Use Copilot with semantic models in Power BI</t>
  </si>
  <si>
    <t xml:space="preserve">WSP-003</t>
  </si>
  <si>
    <t xml:space="preserve">Staging, development and sandbox workspaces are excluded from AI capacity</t>
  </si>
  <si>
    <t xml:space="preserve">Development, staging and personal sandbox workspaces must not sit on capacity where Copilot is enabled for business users.</t>
  </si>
  <si>
    <t xml:space="preserve">Half-built models with placeholder measures and unhidden technical columns are exactly the content that teaches users not to trust Copilot.</t>
  </si>
  <si>
    <t xml:space="preserve">(api) Cross-reference the workspace register against capacity assignment; flag any dev/test workspace on a Copilot-enabled capacity accessible to business users.  [expected: no dev/test workspaces exposed]</t>
  </si>
  <si>
    <t xml:space="preserve">Move non-production workspaces to a separate capacity or restrict the Copilot security group to production workspace members.</t>
  </si>
  <si>
    <t xml:space="preserve">Users get answers from unfinished models and lose confidence permanently.</t>
  </si>
  <si>
    <t xml:space="preserve">Established semantic modeling / Copilot tuning practice (not a single Microsoft doc); Best practices for configuring your data agent</t>
  </si>
  <si>
    <t xml:space="preserve">WSP-004</t>
  </si>
  <si>
    <t xml:space="preserve">'Approved for Copilot' is applied through a real review, not by default</t>
  </si>
  <si>
    <t xml:space="preserve">Every semantic model marked 'Approved for Copilot' must have passed a documented review covering schema scoping, descriptions, verified answers and a golden-question test pass.</t>
  </si>
  <si>
    <t xml:space="preserve">Approval is the trust signal shown to users; unapproved models display a warning advising users to inspect results and contact the owner. Rubber-stamping approval destroys the signal's value.</t>
  </si>
  <si>
    <t xml:space="preserve">(manual) For each approved model, confirm a review record exists with a date, reviewer, and golden-question pass rate.  [expected: review record per approved model]</t>
  </si>
  <si>
    <t xml:space="preserve">Define the approval checklist from this rule pack and gate the flag behind it.</t>
  </si>
  <si>
    <t xml:space="preserve">The approval badge becomes noise and users cannot tell prepared models from unprepared ones.</t>
  </si>
  <si>
    <t xml:space="preserve">Copilot in Power BI tutorial: prepare a semantic model for AI; Copilot and Agent admin settings</t>
  </si>
  <si>
    <t xml:space="preserve">WSP-005</t>
  </si>
  <si>
    <t xml:space="preserve">Reports, dashboards and apps cannot be approved - only semantic models</t>
  </si>
  <si>
    <t xml:space="preserve">Governance documentation must state that there is currently no way to mark a report, dashboard or app as approved for Copilot; only semantic models carry the flag.</t>
  </si>
  <si>
    <t xml:space="preserve">Teams design approval workflows around reports and then find the flag does not exist, leaving the process half-implemented.</t>
  </si>
  <si>
    <t xml:space="preserve">(manual) Confirm the governance doc reflects the model-only scope of approval.  [expected: documented]</t>
  </si>
  <si>
    <t xml:space="preserve">Anchor the approval process on semantic models and treat report quality as a separate control.</t>
  </si>
  <si>
    <t xml:space="preserve">Approval process design churn.</t>
  </si>
  <si>
    <t xml:space="preserve">Prepare your data for AI to improve Copilot results (preview)</t>
  </si>
  <si>
    <t xml:space="preserve">WSP-006</t>
  </si>
  <si>
    <t xml:space="preserve">Semantic model description is populated for discovery</t>
  </si>
  <si>
    <t xml:space="preserve">metadata</t>
  </si>
  <si>
    <t xml:space="preserve">Each in-scope semantic model must have a populated description in model settings that names the subject areas, key entities and the questions it is meant to answer.</t>
  </si>
  <si>
    <t xml:space="preserve">Descriptions feed the Search grounding path, which is how standalone Copilot decides which model to use for a question. A blank description makes the model effectively invisible or, worse, picked at random.</t>
  </si>
  <si>
    <t xml:space="preserve">(api) Read the model description for every in-scope model; flag empty, default, or single-word values.  [expected: non-empty, keyword-rich description]</t>
  </si>
  <si>
    <t xml:space="preserve">Write a description covering tables, measures, relationships and intended audience, using distinct keywords rather than generic phrasing.</t>
  </si>
  <si>
    <t xml:space="preserve">Standalone Copilot routes questions to the wrong model.</t>
  </si>
  <si>
    <t xml:space="preserve">Copilot in Power BI tutorial: prepare a semantic model for AI; Frequently asked questions about preparing data for AI</t>
  </si>
  <si>
    <t xml:space="preserve">WSP-007</t>
  </si>
  <si>
    <t xml:space="preserve">Report descriptions are populated where reports are part of the AI surface</t>
  </si>
  <si>
    <t xml:space="preserve">Reports exposed to Copilot should carry a description in File &gt; Settings that provides natural-language context for data discovery.</t>
  </si>
  <si>
    <t xml:space="preserve">Report descriptions contribute to discovery and to the report summary experience.</t>
  </si>
  <si>
    <t xml:space="preserve">(manual) Sample in-scope reports and check for a populated description.  [expected: non-empty description]</t>
  </si>
  <si>
    <t xml:space="preserve">Add a one-to-two sentence description naming the analysis and its dimensions.</t>
  </si>
  <si>
    <t xml:space="preserve">Weaker discovery and less useful report summaries.</t>
  </si>
  <si>
    <t xml:space="preserve">Copilot in Power BI tutorial: prepare a semantic model for AI</t>
  </si>
  <si>
    <t xml:space="preserve">AI data schema &amp; scope reduction  -  21 rules, area weight 14</t>
  </si>
  <si>
    <t xml:space="preserve">SCH-001</t>
  </si>
  <si>
    <t xml:space="preserve">An AI data schema is explicitly defined for every in-scope semantic model</t>
  </si>
  <si>
    <t xml:space="preserve">config</t>
  </si>
  <si>
    <t xml:space="preserve">Every semantic model exposed to Copilot or bound to a data agent must have an AI data schema defined through Prep data for AI, rather than defaulting to the full model surface.</t>
  </si>
  <si>
    <t xml:space="preserve">This is the primary control against the ad-hoc-SQL-server behaviour. The DAX generation tool uses only the AI data schema. If you never define one, the generator reasons over everything you own.</t>
  </si>
  <si>
    <t xml:space="preserve">(tmdl) Inspect the model's LSDL / AI data schema definition. Confirm a curated selection exists and is narrower than the full object list.  [expected: defined and narrower than full model]</t>
  </si>
  <si>
    <t xml:space="preserve">Open Prep data for AI &gt; Simplify the data schema and deselect every field not required by the intended question set.</t>
  </si>
  <si>
    <t xml:space="preserve">The generator considers every table, column and measure on every question - maximum latency, maximum token cost, maximum ambiguity.</t>
  </si>
  <si>
    <t xml:space="preserve">Copilot in Power BI tutorial: prepare a semantic model for AI; Semantic model best practices for data agent; Prepare your data for AI to improve Copilot results (preview)</t>
  </si>
  <si>
    <t xml:space="preserve">SCH-002</t>
  </si>
  <si>
    <t xml:space="preserve">Model entity count stays within the 1,000-entity indexing ceiling</t>
  </si>
  <si>
    <t xml:space="preserve">The combined count of tables and columns in the model should stay at or below 1,000 entities, or the AI data schema must reduce the exposed surface to below that ceiling.</t>
  </si>
  <si>
    <t xml:space="preserve">Power BI indexes a maximum of 1,000 model entities (tables and columns combined) for instance-value search. Beyond that, columns go unindexed and value-based filtering silently degrades.</t>
  </si>
  <si>
    <t xml:space="preserve">1000 entities (tables + columns) (hard)</t>
  </si>
  <si>
    <t xml:space="preserve">(dax) Count tables plus columns via INFO.TABLES()/INFO.COLUMNS() or a VPAX extract. Compare against 1000.  [lte 1000 entities]</t>
  </si>
  <si>
    <t xml:space="preserve">Trim the model, or narrow the AI data schema so the AI-visible entity count is well under the ceiling. Aim materially below 1,000, not at it.</t>
  </si>
  <si>
    <t xml:space="preserve">Columns are skipped during indexing; Copilot cannot resolve filter values it should be able to find.</t>
  </si>
  <si>
    <t xml:space="preserve">Frequently asked questions about preparing data for AI</t>
  </si>
  <si>
    <t xml:space="preserve">SCH-003</t>
  </si>
  <si>
    <t xml:space="preserve">Instance-value indexing stays within the 5 million value ceiling</t>
  </si>
  <si>
    <t xml:space="preserve">The total indexed instance values across the model must stay under 5 million, and high-cardinality columns must be excluded from the AI data schema where they are not needed for filtering.</t>
  </si>
  <si>
    <t xml:space="preserve">Indexing stops at 5 million instance values. When the next column would push the total over, Power BI skips that column entirely - and it may be a column that matters. A single high-cardinality key can consume the budget and starve every column after it.</t>
  </si>
  <si>
    <t xml:space="preserve">5000000 instance values (hard)</t>
  </si>
  <si>
    <t xml:space="preserve">(dax) Estimate distinct-value counts per AI-visible column (APPROXIMATEDISTINCTCOUNT or COLUMNSTATISTICS) and sum. Compare against 5,000,000.  [lte 5000000 instance values]</t>
  </si>
  <si>
    <t xml:space="preserve">Deselect surrogate keys, GUIDs, free-text notes and transaction identifiers from the AI data schema. Keep the columns users actually name in questions.</t>
  </si>
  <si>
    <t xml:space="preserve">Arbitrary columns silently unindexed; value filters fail unpredictably and look like model bugs.</t>
  </si>
  <si>
    <t xml:space="preserve">SCH-004</t>
  </si>
  <si>
    <t xml:space="preserve">Filterable text values are under 100 characters</t>
  </si>
  <si>
    <t xml:space="preserve">Columns intended for value-based filtering by Copilot must contain values shorter than 100 characters.</t>
  </si>
  <si>
    <t xml:space="preserve">Text values of 100 characters or more are not indexed. Long descriptive strings will never be matched by a user's natural-language filter no matter how the question is phrased.</t>
  </si>
  <si>
    <t xml:space="preserve">100 characters (hard)</t>
  </si>
  <si>
    <t xml:space="preserve">(dax) For each AI-visible text column, compute MAX(LEN(column)). Flag any column used for filtering whose values reach 100 characters.  [lt 100 characters]</t>
  </si>
  <si>
    <t xml:space="preserve">Split long text into a short filterable code or category column plus a long descriptive column, and expose only the short one to the AI data schema.</t>
  </si>
  <si>
    <t xml:space="preserve">Users filter on a value that visibly exists in the report and Copilot insists it cannot find it.</t>
  </si>
  <si>
    <t xml:space="preserve">SCH-005</t>
  </si>
  <si>
    <t xml:space="preserve">Copilot Diagnostics shows no AgentSchemaReduced warning</t>
  </si>
  <si>
    <t xml:space="preserve">validation</t>
  </si>
  <si>
    <t xml:space="preserve">Copilot Diagnostics must not report 'AgentSchemaReduced' for in-scope models under representative questions.</t>
  </si>
  <si>
    <t xml:space="preserve">AgentSchemaReduced means the schema was too large for Copilot to render and Copilot automatically cut it down - by its own choice, not yours. Whatever it dropped is invisible to the generator and you did not decide what went.</t>
  </si>
  <si>
    <t xml:space="preserve">(manual) Run the golden question set and inspect Copilot Diagnostics warnings for AgentSchemaReduced.  [expected: warning absent]</t>
  </si>
  <si>
    <t xml:space="preserve">Reduce the AI data schema yourself until the warning clears, so schema reduction is a deliberate curation decision rather than an automatic truncation.</t>
  </si>
  <si>
    <t xml:space="preserve">Silent, uncontrolled loss of schema; answers omit data that exists and nobody can explain why.</t>
  </si>
  <si>
    <t xml:space="preserve">SCH-006</t>
  </si>
  <si>
    <t xml:space="preserve">Surrogate keys and relationship identifiers are removed from the AI schema</t>
  </si>
  <si>
    <t xml:space="preserve">modeling</t>
  </si>
  <si>
    <t xml:space="preserve">Unique identifier columns used only to define relationships must be deselected from the AI data schema.</t>
  </si>
  <si>
    <t xml:space="preserve">Documented explicitly as a field type to deselect. Keys carry no business meaning, add cardinality against the indexing budget, and invite the generator to join or group on them.</t>
  </si>
  <si>
    <t xml:space="preserve">(tmdl) List AI-visible columns whose names match key patterns (ID, Key, SK, GUID, Code suffixes) and confirm exclusion unless deliberately kept.  [expected: excluded]</t>
  </si>
  <si>
    <t xml:space="preserve">Deselect them in Simplify the data schema. Relationships still work; the generator just stops seeing the keys.</t>
  </si>
  <si>
    <t xml:space="preserve">Grouping by meaningless identifiers, wasted index budget, and joins the generator invents rather than follows.</t>
  </si>
  <si>
    <t xml:space="preserve">Copilot in Power BI tutorial: prepare a semantic model for AI; Best practices for configuring your data agent</t>
  </si>
  <si>
    <t xml:space="preserve">SCH-007</t>
  </si>
  <si>
    <t xml:space="preserve">Sort-order and helper columns are removed from the AI schema</t>
  </si>
  <si>
    <t xml:space="preserve">Sort-by columns such as Month (Sort Order) or Day (Sort Order), and other presentation helper columns, must be deselected from the AI data schema.</t>
  </si>
  <si>
    <t xml:space="preserve">Called out explicitly as fields to deselect. They duplicate a real attribute in numeric form, so the generator has two plausible columns for one concept and picks wrong roughly half the time.</t>
  </si>
  <si>
    <t xml:space="preserve">(tmdl) Identify columns used as Sort By Column targets and confirm they are excluded from the AI schema.  [expected: excluded]</t>
  </si>
  <si>
    <t xml:space="preserve">Deselect all sort-order columns. Sorting behaviour in visuals is unaffected.</t>
  </si>
  <si>
    <t xml:space="preserve">Answers grouped by 1..12 instead of month names; user trust erodes on cosmetic-looking errors.</t>
  </si>
  <si>
    <t xml:space="preserve">SCH-008</t>
  </si>
  <si>
    <t xml:space="preserve">Archived, staging and audit tables are excluded</t>
  </si>
  <si>
    <t xml:space="preserve">Archived, staging, audit and unrelated tables must be excluded from both the AI data schema and any data agent object selection.</t>
  </si>
  <si>
    <t xml:space="preserve">Explicit guidance for data agent configuration: select only the tables, columns, views and functions needed for the intended questions. Staging tables are the classic source of near-duplicate results.</t>
  </si>
  <si>
    <t xml:space="preserve">(manual) Review the AI-visible table list against the intended question set; flag any table that no in-scope question needs.  [expected: excluded]</t>
  </si>
  <si>
    <t xml:space="preserve">Remove them from selection. If they must stay in the model for lineage, hide them and exclude them from the AI schema.</t>
  </si>
  <si>
    <t xml:space="preserve">The generator queries a staging copy and returns numbers that do not tie to any published report.</t>
  </si>
  <si>
    <t xml:space="preserve">Best practices for configuring your data agent</t>
  </si>
  <si>
    <t xml:space="preserve">SCH-009</t>
  </si>
  <si>
    <t xml:space="preserve">AI data schema is scoped to a declared question set</t>
  </si>
  <si>
    <t xml:space="preserve">Each AI data schema must be traceable to a written statement of the question scope the model is meant to serve, and every included object must be justified by at least one question in that scope.</t>
  </si>
  <si>
    <t xml:space="preserve">'Select only relevant objects based on the data agent's question scope to reduce ambiguity and latency.' Without a declared scope, inclusion decisions are arbitrary and the schema only ever grows.</t>
  </si>
  <si>
    <t xml:space="preserve">(manual) Confirm a question-scope document exists per model/agent and that schema inclusions map to it.  [expected: documented question scope]</t>
  </si>
  <si>
    <t xml:space="preserve">Write the scope statement first, derive the schema from it, and reject additions that no scoped question requires.</t>
  </si>
  <si>
    <t xml:space="preserve">Schema sprawl returns within two release cycles and undoes every other tuning effort.</t>
  </si>
  <si>
    <t xml:space="preserve">Semantic model best practices for data agent; Best practices for configuring your data agent</t>
  </si>
  <si>
    <t xml:space="preserve">SCH-010</t>
  </si>
  <si>
    <t xml:space="preserve">Data agent object selection matches the model's AI data schema</t>
  </si>
  <si>
    <t xml:space="preserve">For a semantic model bound to a data agent, the tables selected in the data agent must be the same tables defined in the model's Prep for AI AI data schema.</t>
  </si>
  <si>
    <t xml:space="preserve">Stated as a direct consistency rule. Divergence means the agent exposes objects the DAX generator was never configured to reason about.</t>
  </si>
  <si>
    <t xml:space="preserve">(manual) Diff the agent's selected object list against the model's AI data schema. The sets must match.  [expected: identical object sets]</t>
  </si>
  <si>
    <t xml:space="preserve">Reconcile the two selections and add a check to the release process so they cannot drift.</t>
  </si>
  <si>
    <t xml:space="preserve">Objects visible to the agent but absent from the generation schema produce failed or nonsensical DAX.</t>
  </si>
  <si>
    <t xml:space="preserve">Semantic model best practices for data agent</t>
  </si>
  <si>
    <t xml:space="preserve">SCH-011</t>
  </si>
  <si>
    <t xml:space="preserve">Dependent objects of selected measures are included in the schema</t>
  </si>
  <si>
    <t xml:space="preserve">When a measure is included in the AI data schema, every object it depends on must also be included.</t>
  </si>
  <si>
    <t xml:space="preserve">Explicit dependency rule; Semantic Link Labs' get_measure_dependencies is the recommended way to enumerate them. A measure whose dependencies were trimmed away fails at query time.</t>
  </si>
  <si>
    <t xml:space="preserve">(api) Run get_measure_dependencies (Semantic Link Labs) across AI-visible measures and confirm every dependency is also AI-visible.  [expected: all dependencies present]</t>
  </si>
  <si>
    <t xml:space="preserve">Add the missing dependencies, or drop the measure from the schema if its dependencies must stay hidden.</t>
  </si>
  <si>
    <t xml:space="preserve">Generated DAX references objects the generator believes exist and the query errors.</t>
  </si>
  <si>
    <t xml:space="preserve">SCH-012</t>
  </si>
  <si>
    <t xml:space="preserve">Hidden fields are not silently relied upon</t>
  </si>
  <si>
    <t xml:space="preserve">Any field that Copilot must be able to use has to be visible; hidden measures and columns are excluded from grounding and must not appear in verified answers.</t>
  </si>
  <si>
    <t xml:space="preserve">Hidden fields are excluded from grounding data, and verified answers referencing hidden columns simply do not work. Teams routinely hide a column for report tidiness and then wonder why Copilot cannot answer about it.</t>
  </si>
  <si>
    <t xml:space="preserve">(dax) List objects referenced by verified answers and by the question scope, and confirm none are hidden.  [expected: no hidden objects in AI scope]</t>
  </si>
  <si>
    <t xml:space="preserve">Unhide the fields Copilot needs, or rewrite the verified answer against visible equivalents.</t>
  </si>
  <si>
    <t xml:space="preserve">Verified answers fail silently and Copilot claims data it can see in reports does not exist.</t>
  </si>
  <si>
    <t xml:space="preserve">Use Copilot with semantic models in Power BI; Semantic model best practices for data agent</t>
  </si>
  <si>
    <t xml:space="preserve">SCH-013</t>
  </si>
  <si>
    <t xml:space="preserve">Private tables are understood to be entirely invisible to Copilot</t>
  </si>
  <si>
    <t xml:space="preserve">Tables marked private must be documented as fully excluded from all Copilot grounding, and no AI capability may depend on them.</t>
  </si>
  <si>
    <t xml:space="preserve">Copilot ignores private tables entirely across both the data-question and DAX query view paths. This is a useful deliberate exclusion mechanism, but a trap when unintentional.</t>
  </si>
  <si>
    <t xml:space="preserve">(tmdl) List tables marked private and confirm no in-scope question depends on them.  [expected: documented and no dependency]</t>
  </si>
  <si>
    <t xml:space="preserve">Use the private flag deliberately to fence off sensitive or technical tables; unmark any table Copilot legitimately needs.</t>
  </si>
  <si>
    <t xml:space="preserve">Unexplainable gaps in Copilot's knowledge of the model.</t>
  </si>
  <si>
    <t xml:space="preserve">SCH-014</t>
  </si>
  <si>
    <t xml:space="preserve">Duplicate field names across tables are eliminated or disambiguated</t>
  </si>
  <si>
    <t xml:space="preserve">The AI-visible schema must not contain identically named fields in multiple tables unless each carries a description that distinguishes it.</t>
  </si>
  <si>
    <t xml:space="preserve">Called out directly: 'Name' in a Customer table versus a Store table forces the generator to guess. Ambiguity at schema level cannot be recovered by a better prompt.</t>
  </si>
  <si>
    <t xml:space="preserve">(dax) Group AI-visible column and measure names; flag any name appearing in more than one table.  [equals 0]</t>
  </si>
  <si>
    <t xml:space="preserve">Rename to Customer Name / Store Name, or add distinguishing descriptions to each.</t>
  </si>
  <si>
    <t xml:space="preserve">Roughly random field selection on any question naming the ambiguous term.</t>
  </si>
  <si>
    <t xml:space="preserve">Copilot in Power BI tutorial: prepare a semantic model for AI; Semantic model best practices for data agent</t>
  </si>
  <si>
    <t xml:space="preserve">SCH-015</t>
  </si>
  <si>
    <t xml:space="preserve">Instance-value reindexing cadence is understood and accounted for</t>
  </si>
  <si>
    <t xml:space="preserve">The team must document the reindexing behaviour that applies to each model type and set user expectations accordingly.</t>
  </si>
  <si>
    <t xml:space="preserve">Import models reindex on manual or scheduled refresh, but only when Copilot or Q&amp;A has been used in the last 14 days. DirectQuery and Direct Lake reindex when the index is older than 24 hours under the same 14-day activity condition, with COLUMNSTATISTICS cached for 7 days. A model nobody has asked a question of for two weeks stops being reindexed.</t>
  </si>
  <si>
    <t xml:space="preserve">activityWindowDays=14; directQueryReindexHours=24; columnStatisticsCacheDays=7; firstIndexMinutes=15 mixed (hard)</t>
  </si>
  <si>
    <t xml:space="preserve">(manual) Confirm the operations runbook records the reindexing rules per model type and the 14-day activity dependency.  [expected: documented]</t>
  </si>
  <si>
    <t xml:space="preserve">Document it, and for low-traffic but important models schedule a periodic synthetic question to keep the model within the activity window.</t>
  </si>
  <si>
    <t xml:space="preserve">Stale instance values produce filter misses that look like data errors.</t>
  </si>
  <si>
    <t xml:space="preserve">SCH-016</t>
  </si>
  <si>
    <t xml:space="preserve">DirectQuery indexing constraints are accepted or mitigated</t>
  </si>
  <si>
    <t xml:space="preserve">For DirectQuery models, confirm the source supports APPROXIMATEDISTINCTCOUNT and accept that indexing occurs at most once per 24 hours unless the model is republished.</t>
  </si>
  <si>
    <t xml:space="preserve">Only columns from sources supporting APPROXIMATEDISTINCTCOUNT are indexed at all. A failed underlying refresh leaves a stale index until the next successful one.</t>
  </si>
  <si>
    <t xml:space="preserve">(manual) For each DirectQuery model, record source support for APPROXIMATEDISTINCTCOUNT and the observed index age.  [expected: documented]</t>
  </si>
  <si>
    <t xml:space="preserve">Where the source does not support it, consider Import or Direct Lake for the AI-facing model.</t>
  </si>
  <si>
    <t xml:space="preserve">Value filtering effectively unavailable on DirectQuery models against unsupported sources.</t>
  </si>
  <si>
    <t xml:space="preserve">SCH-017</t>
  </si>
  <si>
    <t xml:space="preserve">Prep for AI changes are given time to propagate before re-testing</t>
  </si>
  <si>
    <t xml:space="preserve">operations</t>
  </si>
  <si>
    <t xml:space="preserve">Test cycles must allow up to 24 hours for Prep for AI changes to affect Copilot results, typically within an hour, with the longer tail on models that have many attached reports.</t>
  </si>
  <si>
    <t xml:space="preserve">Re-testing five minutes after a change and concluding the change did nothing leads to thrashing the configuration.</t>
  </si>
  <si>
    <t xml:space="preserve">24 hours (soft)</t>
  </si>
  <si>
    <t xml:space="preserve">(manual) Confirm the test procedure documents the propagation window.  [expected: documented]</t>
  </si>
  <si>
    <t xml:space="preserve">Build the wait into the evaluation cadence; batch configuration changes rather than tuning one setting at a time.</t>
  </si>
  <si>
    <t xml:space="preserve">Configuration churn and false conclusions about which settings help.</t>
  </si>
  <si>
    <t xml:space="preserve">SCH-018</t>
  </si>
  <si>
    <t xml:space="preserve">Prep for AI edits deployed via Git or pipelines are followed by a refresh</t>
  </si>
  <si>
    <t xml:space="preserve">After deploying LSDL or Prep for AI changes through Git integration or deployment pipelines, the model must be refreshed in the Power BI service to sync the changes.</t>
  </si>
  <si>
    <t xml:space="preserve">Explicit requirement. Import models must be refreshed; DirectQuery and Direct Lake models must be refreshed but only once a day. Skipping this leaves production running the previous AI configuration while source control says otherwise.</t>
  </si>
  <si>
    <t xml:space="preserve">(manual) Confirm the deployment pipeline includes a post-deployment refresh step for AI-configured models.  [expected: refresh step present]</t>
  </si>
  <si>
    <t xml:space="preserve">Add the refresh to the release pipeline and verify the AI configuration post-deployment rather than assuming it landed.</t>
  </si>
  <si>
    <t xml:space="preserve">Deployed AI configuration silently inactive in production.</t>
  </si>
  <si>
    <t xml:space="preserve">SCH-019</t>
  </si>
  <si>
    <t xml:space="preserve">Connection type is supported for Desktop-based Prep for AI authoring</t>
  </si>
  <si>
    <t xml:space="preserve">Where Prep for AI is authored in Power BI Desktop, the model must use Import, DirectQuery or local Composite mode.</t>
  </si>
  <si>
    <t xml:space="preserve">Power BI Desktop supports only those connection types for Prep data for AI. All model types can use the features in the Power BI service, so the constraint is on where you author, not where you consume.</t>
  </si>
  <si>
    <t xml:space="preserve">(manual) Record the connection type of each model and where its AI configuration is authored.</t>
  </si>
  <si>
    <t xml:space="preserve">Author Prep for AI in the service for model types Desktop does not support.</t>
  </si>
  <si>
    <t xml:space="preserve">Prep for AI unavailable in Desktop and the team assumes the feature is broken.</t>
  </si>
  <si>
    <t xml:space="preserve">SCH-020</t>
  </si>
  <si>
    <t xml:space="preserve">Data agent stays within the five data source limit and uses the minimum needed</t>
  </si>
  <si>
    <t xml:space="preserve">A data agent must be bound to no more than five data sources, and to the fewest sources that its question scope actually requires.</t>
  </si>
  <si>
    <t xml:space="preserve">Five sources is a hard cap in any combination across Lakehouses, Warehouses, semantic models, KQL databases, mirrored databases, ontologies and Microsoft Graph. Every additional source widens the routing decision the agent has to make on every question.</t>
  </si>
  <si>
    <t xml:space="preserve">5 data sources per agent (hard)</t>
  </si>
  <si>
    <t xml:space="preserve">(api) Count bound data sources per agent and compare against the intended question scope.  [lte 5 data sources]</t>
  </si>
  <si>
    <t xml:space="preserve">Split broad agents into several narrowly scoped agents rather than binding more sources to one.</t>
  </si>
  <si>
    <t xml:space="preserve">At the cap, source routing errors dominate; beyond it, configuration is rejected.</t>
  </si>
  <si>
    <t xml:space="preserve">SCH-021</t>
  </si>
  <si>
    <t xml:space="preserve">Lakehouse content is exposed as tables, not files</t>
  </si>
  <si>
    <t xml:space="preserve">Data intended for agent consumption from a Lakehouse must be registered as tables; standalone files are not accessible.</t>
  </si>
  <si>
    <t xml:space="preserve">Agents access only Lakehouse tables, not standalone CSV or JSON files unless those are ingested as tables. Unstructured formats such as .pdf, .docx and .txt are unsupported outright.</t>
  </si>
  <si>
    <t xml:space="preserve">(manual) For each Lakehouse source, confirm the required data is registered as tables.  [expected: tables registered]</t>
  </si>
  <si>
    <t xml:space="preserve">Ingest the files as Delta tables before binding the Lakehouse to the agent.</t>
  </si>
  <si>
    <t xml:space="preserve">The agent cannot see data the user can see in OneLake.</t>
  </si>
  <si>
    <t xml:space="preserve">Semantic model structure  -  10 rules, area weight 12</t>
  </si>
  <si>
    <t xml:space="preserve">MOD-001</t>
  </si>
  <si>
    <t xml:space="preserve">Model follows a star schema with distinct fact and dimension tables</t>
  </si>
  <si>
    <t xml:space="preserve">AI-facing semantic models must use a star schema with clearly separated fact and dimension tables; flat denormalized tables and pivoted structures must be avoided.</t>
  </si>
  <si>
    <t xml:space="preserve">Named as the primary structural pitfall: non-star schemas make efficient DAX harder to write correctly, so the generator produces inefficient or wrong queries. This is the single largest structural driver of the broad-scan behaviour.</t>
  </si>
  <si>
    <t xml:space="preserve">(tmdl) Review the relationship graph. Flag snowflaked chains, fact-to-fact relationships, and wide flat tables carrying both measures and descriptive attributes.  [expected: star schema]</t>
  </si>
  <si>
    <t xml:space="preserve">Refactor into conformed dimensions and narrow fact tables. Unpivot wide tables so each row is one observation.</t>
  </si>
  <si>
    <t xml:space="preserve">Inefficient generated DAX, longer scans, higher CU burn per question, and lower answer accuracy.</t>
  </si>
  <si>
    <t xml:space="preserve">Semantic model best practices for data agent; Optimize your semantic model for Copilot in Power BI; Use Copilot with semantic models in Power BI</t>
  </si>
  <si>
    <t xml:space="preserve">MOD-002</t>
  </si>
  <si>
    <t xml:space="preserve">Relationships are defined with explicit, correct cardinality</t>
  </si>
  <si>
    <t xml:space="preserve">Every relationship between AI-visible tables must exist and declare the correct cardinality - one-to-many, many-to-one, or many-to-many - and the correct filter direction.</t>
  </si>
  <si>
    <t xml:space="preserve">Clear relationships with specified cardinality are a stated requirement. Missing or wrong relationships force the generator to invent joins, which is where fabricated numbers come from.</t>
  </si>
  <si>
    <t xml:space="preserve">(dax) Enumerate relationships via INFO.RELATIONSHIPS(). Flag missing joins between AI-visible fact and dimension tables, and any many-to-many not deliberately intended.  [expected: complete, correctly typed relationships]</t>
  </si>
  <si>
    <t xml:space="preserve">Define the missing relationships and correct cardinality. Replace incidental many-to-many with a bridge dimension.</t>
  </si>
  <si>
    <t xml:space="preserve">Cross-joins, inflated totals, and answers that cannot be reconciled to any report.</t>
  </si>
  <si>
    <t xml:space="preserve">Optimize your semantic model for Copilot in Power BI</t>
  </si>
  <si>
    <t xml:space="preserve">MOD-003</t>
  </si>
  <si>
    <t xml:space="preserve">Ambiguous relationship paths are eliminated</t>
  </si>
  <si>
    <t xml:space="preserve">The model must not contain ambiguous relationship paths between AI-visible tables.</t>
  </si>
  <si>
    <t xml:space="preserve">Explicitly listed among the practices to follow. Where two paths connect the same tables, the generator's choice is not predictable and neither are the results.</t>
  </si>
  <si>
    <t xml:space="preserve">(tmdl) Trace the relationship graph for multiple active paths between any two AI-visible tables.  [equals 1]</t>
  </si>
  <si>
    <t xml:space="preserve">Deactivate redundant relationships and expose the alternate path through an explicit measure using USERELATIONSHIP.</t>
  </si>
  <si>
    <t xml:space="preserve">Same question, different answer, depending on the path chosen.</t>
  </si>
  <si>
    <t xml:space="preserve">MOD-004</t>
  </si>
  <si>
    <t xml:space="preserve">Role-playing relationships are marked inactive and surfaced through measures</t>
  </si>
  <si>
    <t xml:space="preserve">Role-playing dimension relationships must be marked inactive where appropriate, with active/inactive state clearly specified.</t>
  </si>
  <si>
    <t xml:space="preserve">Direct guidance to clearly specify active and inactive relationships and mark role-playing relationships inactive when appropriate.</t>
  </si>
  <si>
    <t xml:space="preserve">(dax) For dimensions related more than once to a fact, confirm exactly one active relationship and named measures for the inactive roles.  [expected: one active, roles exposed via measures]</t>
  </si>
  <si>
    <t xml:space="preserve">Create measures such as Sales by Ship Date using USERELATIONSHIP, and name them so the role is obvious.</t>
  </si>
  <si>
    <t xml:space="preserve">Date-based questions silently resolve against the wrong date role.</t>
  </si>
  <si>
    <t xml:space="preserve">MOD-005</t>
  </si>
  <si>
    <t xml:space="preserve">A marked date table with hierarchies exists</t>
  </si>
  <si>
    <t xml:space="preserve">The model must contain a dedicated date dimension with a logical drill hierarchy - Year &gt; Quarter &gt; Month &gt; Day - and it must be marked as the date table.</t>
  </si>
  <si>
    <t xml:space="preserve">Hierarchies for drill-down are a stated structural requirement, and time intelligence in generated DAX depends on a proper date table.</t>
  </si>
  <si>
    <t xml:space="preserve">(dax) Confirm a date table exists, is marked as such, is contiguous, and exposes a Year/Quarter/Month/Day hierarchy.  [expected: marked date table with hierarchy]</t>
  </si>
  <si>
    <t xml:space="preserve">Add and mark a conformed date dimension; remove auto date/time tables that clutter the AI-visible schema.</t>
  </si>
  <si>
    <t xml:space="preserve">Time-intelligence questions fail or return wrong periods - the most common category of user-facing Copilot error.</t>
  </si>
  <si>
    <t xml:space="preserve">MOD-006</t>
  </si>
  <si>
    <t xml:space="preserve">Ambiguous date columns carry explicit default guidance</t>
  </si>
  <si>
    <t xml:space="preserve">Where a model exposes several date columns - Order Date, Ship Date, Due Date - AI instructions or verified answers must state which is the default for each question type.</t>
  </si>
  <si>
    <t xml:space="preserve">Called out as a specific pitfall: multiple date columns require clear guidance or the AI is confused. Guidance is the fix, not removal.</t>
  </si>
  <si>
    <t xml:space="preserve">(manual) Count AI-visible date columns; if more than one, confirm AI instructions name the default and the conditions for using the others.  [expected: documented default date guidance]</t>
  </si>
  <si>
    <t xml:space="preserve">Add an explicit line to AI instructions, for example: unless the user names a date type, use Order Date.</t>
  </si>
  <si>
    <t xml:space="preserve">Revenue questions answered on ship date; the numbers look plausible and are wrong.</t>
  </si>
  <si>
    <t xml:space="preserve">MOD-007</t>
  </si>
  <si>
    <t xml:space="preserve">Fact and dimension tables are explicitly named</t>
  </si>
  <si>
    <t xml:space="preserve">naming</t>
  </si>
  <si>
    <t xml:space="preserve">Tables should be named so their role is unmistakable - FactSales, FactTransactions, DimProduct, DimCustomer - or follow an equivalent consistent convention.</t>
  </si>
  <si>
    <t xml:space="preserve">Explicit naming guidance. Role clarity in the name reduces the reasoning the generator must do before it can plan a query.</t>
  </si>
  <si>
    <t xml:space="preserve">(dax) Review AI-visible table names for a consistent, role-revealing convention.  [expected: consistent convention]</t>
  </si>
  <si>
    <t xml:space="preserve">Adopt one convention and apply it uniformly. Consistency matters more than which convention you pick.</t>
  </si>
  <si>
    <t xml:space="preserve">The generator misclassifies a dimension as a fact and aggregates attributes.</t>
  </si>
  <si>
    <t xml:space="preserve">MOD-008</t>
  </si>
  <si>
    <t xml:space="preserve">Unused tables, columns and measures are removed</t>
  </si>
  <si>
    <t xml:space="preserve">Objects not required by any report or by the AI question scope must be removed from the model.</t>
  </si>
  <si>
    <t xml:space="preserve">Model bloat is named directly: remove unnecessary columns, tables and measures to reduce noise for the DAX generation tool. Every unused object is a candidate the generator must rule out.</t>
  </si>
  <si>
    <t xml:space="preserve">(vpax) Use the Semantic Model Memory Analyzer or a VPAX extract to identify unreferenced objects.  [expected: no unreferenced AI-visible objects]</t>
  </si>
  <si>
    <t xml:space="preserve">Delete them, or at minimum hide and exclude them from the AI data schema.</t>
  </si>
  <si>
    <t xml:space="preserve">Higher token cost per question and more ways for the generator to go wrong.</t>
  </si>
  <si>
    <t xml:space="preserve">Semantic model best practices for data agent; Copilot in Power BI tutorial: prepare a semantic model for AI</t>
  </si>
  <si>
    <t xml:space="preserve">MOD-009</t>
  </si>
  <si>
    <t xml:space="preserve">Disconnected and field-parameter tables are limited</t>
  </si>
  <si>
    <t xml:space="preserve">Disconnected tables, including field parameter tables, must be minimized in the AI-visible schema and documented where retained.</t>
  </si>
  <si>
    <t xml:space="preserve">Named as an unsupported complex pattern that may cause unexpected results, alongside currency conversion patterns.</t>
  </si>
  <si>
    <t xml:space="preserve">(tmdl) List AI-visible tables with no relationships; confirm each is deliberate and documented.  [expected: minimized and documented]</t>
  </si>
  <si>
    <t xml:space="preserve">Exclude field parameter tables from the AI data schema; they are a report interactivity device, not a semantic concept.</t>
  </si>
  <si>
    <t xml:space="preserve">Unpredictable results on any question that touches the disconnected table.</t>
  </si>
  <si>
    <t xml:space="preserve">Use Copilot with semantic models in Power BI; Copilot in Power BI tutorial: prepare a semantic model for AI</t>
  </si>
  <si>
    <t xml:space="preserve">MOD-010</t>
  </si>
  <si>
    <t xml:space="preserve">Currency conversion patterns are flagged as unsupported</t>
  </si>
  <si>
    <t xml:space="preserve">Models implementing currency conversion must document that this pattern is not reliably supported and constrain the question scope accordingly.</t>
  </si>
  <si>
    <t xml:space="preserve">Currency conversion is explicitly listed among complex patterns that may cause unexpected results.</t>
  </si>
  <si>
    <t xml:space="preserve">(manual) Identify currency conversion logic and confirm the limitation is documented and tested.  [expected: documented]</t>
  </si>
  <si>
    <t xml:space="preserve">Pre-compute reporting-currency measures and expose only those to the AI schema.</t>
  </si>
  <si>
    <t xml:space="preserve">Currency-denominated answers are wrong in ways that are hard to spot.</t>
  </si>
  <si>
    <t xml:space="preserve">Names, descriptions &amp; linguistics  -  10 rules, area weight 11</t>
  </si>
  <si>
    <t xml:space="preserve">MET-001</t>
  </si>
  <si>
    <t xml:space="preserve">Descriptions exist on every AI-visible table, column and measure</t>
  </si>
  <si>
    <t xml:space="preserve">Every table, column and measure in the AI data schema must carry a description.</t>
  </si>
  <si>
    <t xml:space="preserve">Adding descriptions to tables, columns and measures is a stated requirement so the model can understand purpose. Descriptions are the only place where business meaning reaches the generator.</t>
  </si>
  <si>
    <t xml:space="preserve">(dax) Compute description coverage across AI-visible objects via INFO functions or a TMDL scan. Report percentage complete.  [gte 100 percent of AI-visible objects]</t>
  </si>
  <si>
    <t xml:space="preserve">Write descriptions for the AI-visible subset only - which is another reason to keep that subset small.</t>
  </si>
  <si>
    <t xml:space="preserve">The generator maps user language to fields on name similarity alone.</t>
  </si>
  <si>
    <t xml:space="preserve">Optimize your semantic model for Copilot in Power BI; Semantic model best practices for data agent</t>
  </si>
  <si>
    <t xml:space="preserve">MET-002</t>
  </si>
  <si>
    <t xml:space="preserve">The essential content of every description sits in the first 200 characters</t>
  </si>
  <si>
    <t xml:space="preserve">Descriptions must front-load their meaning: only the first 200 characters are used by Copilot, and semantic model property descriptions are truncated at 200 characters.</t>
  </si>
  <si>
    <t xml:space="preserve">This is the single most commonly violated hard limit in Copilot preparation. Teams write thorough 600-character descriptions and two thirds of the content is discarded before the generator sees it.</t>
  </si>
  <si>
    <t xml:space="preserve">200 characters (hard)</t>
  </si>
  <si>
    <t xml:space="preserve">(dax) For every AI-visible object, measure description length. Flag any description over 200 characters, and manually confirm the first 200 characters are self-sufficient.  [lte 200 characters]</t>
  </si>
  <si>
    <t xml:space="preserve">Rewrite so the first sentence carries the definition and the usage note. Treat 200 characters as the whole budget, not a soft target.</t>
  </si>
  <si>
    <t xml:space="preserve">The disambiguating half of your documentation is silently discarded, and the model looks documented while behaving as if it is not.</t>
  </si>
  <si>
    <t xml:space="preserve">Optimize your semantic model for Copilot in Power BI; Use Copilot with semantic models in Power BI</t>
  </si>
  <si>
    <t xml:space="preserve">MET-003</t>
  </si>
  <si>
    <t xml:space="preserve">Descriptions state usage guidance, not just a restatement of the name</t>
  </si>
  <si>
    <t xml:space="preserve">Descriptions must add information the name does not already carry - what the measure means, when to use it, what to pair it with, and any caveat.</t>
  </si>
  <si>
    <t xml:space="preserve">The documented model description pattern demonstrates this: it defines the calculation and then states which column to use it with. A description reading 'Total Sales measure' costs 200 characters of budget and adds nothing.</t>
  </si>
  <si>
    <t xml:space="preserve">(manual) Sample descriptions and score them for added information beyond the object name.  [expected: informative descriptions]</t>
  </si>
  <si>
    <t xml:space="preserve">Follow the pattern: definition, then usage guidance. For example, year-over-year difference in orders, used with Date[Year] to show years other than the latest.</t>
  </si>
  <si>
    <t xml:space="preserve">Description coverage looks complete on a report while delivering no disambiguation.</t>
  </si>
  <si>
    <t xml:space="preserve">MET-004</t>
  </si>
  <si>
    <t xml:space="preserve">Descriptions are prioritized where names are ambiguous</t>
  </si>
  <si>
    <t xml:space="preserve">Descriptions must be present for abbreviated or generic object names, columns holding codes, flags, units or category values, date columns tied to a specific business event, and any object in a large schema.</t>
  </si>
  <si>
    <t xml:space="preserve">This is the documented priority list for where descriptions earn their keep. It gives you an order of work when full coverage is not yet achievable.</t>
  </si>
  <si>
    <t xml:space="preserve">(manual) Identify objects in each named category and confirm description coverage on them specifically.  [gte 100 percent of priority objects]</t>
  </si>
  <si>
    <t xml:space="preserve">Work the priority list before chasing blanket coverage.</t>
  </si>
  <si>
    <t xml:space="preserve">Effort spread evenly while the genuinely ambiguous objects stay undocumented.</t>
  </si>
  <si>
    <t xml:space="preserve">MET-005</t>
  </si>
  <si>
    <t xml:space="preserve">Synonyms are populated in the linguistic schema</t>
  </si>
  <si>
    <t xml:space="preserve">Business synonyms and alternative phrasings must be registered in the model's linguistic schema for AI-visible objects.</t>
  </si>
  <si>
    <t xml:space="preserve">Field synonyms and the full model linguistic schema are supplied as grounding data. Synonyms are how the generator bridges the gap between how the business speaks and how the model is named.</t>
  </si>
  <si>
    <t xml:space="preserve">(tmdl) Inspect the linguistic schema for synonym coverage on AI-visible objects; flag objects with only the default term.  [expected: synonyms on business-facing objects]</t>
  </si>
  <si>
    <t xml:space="preserve">Harvest synonyms from actual user questions and support tickets rather than inventing them.</t>
  </si>
  <si>
    <t xml:space="preserve">Users phrase questions in their own vocabulary and Copilot fails to map it.</t>
  </si>
  <si>
    <t xml:space="preserve">MET-006</t>
  </si>
  <si>
    <t xml:space="preserve">Q&amp;A is enabled on the semantic model</t>
  </si>
  <si>
    <t xml:space="preserve">Power BI Q&amp;A must be enabled on every semantic model in scope for Prep for AI features and advanced DAX generation.</t>
  </si>
  <si>
    <t xml:space="preserve">Stated as a hard prerequisite: you must enable Q&amp;A on your semantic model. Advanced DAX generation requires the Q&amp;A setting, which is on by default for Import and Direct Lake models but must be verified.</t>
  </si>
  <si>
    <t xml:space="preserve">(api) Check the Q&amp;A setting on every in-scope semantic model.  [expected: enabled]</t>
  </si>
  <si>
    <t xml:space="preserve">Enable Q&amp;A in semantic model settings.</t>
  </si>
  <si>
    <t xml:space="preserve">Prep for AI features and instance-value-aware DAX generation do not function.</t>
  </si>
  <si>
    <t xml:space="preserve">Prepare your data for AI to improve Copilot results (preview); Semantic model best practices for data agent</t>
  </si>
  <si>
    <t xml:space="preserve">MET-007</t>
  </si>
  <si>
    <t xml:space="preserve">Q&amp;A retirement in December 2026 is tracked as a dependency</t>
  </si>
  <si>
    <t xml:space="preserve">The roadmap must record that Q&amp;A retires in December 2026 and that a replacement setting will carry instance value indexing forward, with an owner assigned to track the transition.</t>
  </si>
  <si>
    <t xml:space="preserve">Advanced DAX generation currently depends on the Q&amp;A setting. A dated retirement of a dependency your AI surface relies on needs an owner before the date, not after.</t>
  </si>
  <si>
    <t xml:space="preserve">2026-12 date (hard)</t>
  </si>
  <si>
    <t xml:space="preserve">(manual) Confirm the retirement is on the roadmap register with a named owner and review date.  [expected: tracked]</t>
  </si>
  <si>
    <t xml:space="preserve">Add it to the platform dependency register and re-check the replacement setting each quarter.</t>
  </si>
  <si>
    <t xml:space="preserve">A dated platform change lands unmanaged on a production AI surface.</t>
  </si>
  <si>
    <t xml:space="preserve">MET-008</t>
  </si>
  <si>
    <t xml:space="preserve">Report visuals carry descriptive titles</t>
  </si>
  <si>
    <t xml:space="preserve">Visuals on reports within the AI surface must have descriptive titles rather than default or decorative ones.</t>
  </si>
  <si>
    <t xml:space="preserve">Preparing report visuals with descriptive titles is a step in the documented implementation workflow, and report metadata from the current page is grounding data for questions about visuals.</t>
  </si>
  <si>
    <t xml:space="preserve">(manual) Sample in-scope report pages and review visual titles for descriptiveness.  [expected: descriptive titles]</t>
  </si>
  <si>
    <t xml:space="preserve">Retitle visuals to name the metric and the grain, for example Revenue by Region, Last 12 Months.</t>
  </si>
  <si>
    <t xml:space="preserve">Weak grounding for visual-level questions and poorer report summaries.</t>
  </si>
  <si>
    <t xml:space="preserve">Semantic model best practices for data agent; Use Copilot with semantic models in Power BI</t>
  </si>
  <si>
    <t xml:space="preserve">MET-009</t>
  </si>
  <si>
    <t xml:space="preserve">Hierarchies are defined for natural drill paths</t>
  </si>
  <si>
    <t xml:space="preserve">Logical hierarchies must be defined for drill-down on the main dimensions - date, geography, product and organization.</t>
  </si>
  <si>
    <t xml:space="preserve">Establishing logical groupings for drill-down is a stated structural requirement.</t>
  </si>
  <si>
    <t xml:space="preserve">(dax) List defined hierarchies and compare against the main AI-visible dimensions.  [expected: hierarchies on principal dimensions]</t>
  </si>
  <si>
    <t xml:space="preserve">Define hierarchies and describe them so drill intent is unambiguous.</t>
  </si>
  <si>
    <t xml:space="preserve">Drill-oriented questions answered at the wrong grain.</t>
  </si>
  <si>
    <t xml:space="preserve">MET-010</t>
  </si>
  <si>
    <t xml:space="preserve">Refresh timeliness is communicated in metadata</t>
  </si>
  <si>
    <t xml:space="preserve">The refresh schedule and data currency must be stated in the semantic model description or AI instructions.</t>
  </si>
  <si>
    <t xml:space="preserve">Clearly communicating data timeliness through refresh schedules is a stated metadata requirement. Without it, an answer carries no indication of how current it is.</t>
  </si>
  <si>
    <t xml:space="preserve">(manual) Confirm data currency is stated in the model description or AI instructions.  [expected: stated]</t>
  </si>
  <si>
    <t xml:space="preserve">Add a line such as: data refreshes nightly at 02:00 UTC; today's transactions are not included.</t>
  </si>
  <si>
    <t xml:space="preserve">Decisions made on stale figures presented without qualification.</t>
  </si>
  <si>
    <t xml:space="preserve">Measures &amp; DAX  -  12 rules, area weight 9</t>
  </si>
  <si>
    <t xml:space="preserve">MEA-001</t>
  </si>
  <si>
    <t xml:space="preserve">Explicit measures exist for every metric users will ask about</t>
  </si>
  <si>
    <t xml:space="preserve">Every business metric within the question scope must be implemented as an explicit DAX measure.</t>
  </si>
  <si>
    <t xml:space="preserve">Explicit measures are required; implicit measures lead to unpredictable results. If the metric is not a measure, the generator has to invent the aggregation.</t>
  </si>
  <si>
    <t xml:space="preserve">(dax) Map each metric in the question scope to a named measure. Flag any metric with no measure.  [expected: measure per in-scope metric]</t>
  </si>
  <si>
    <t xml:space="preserve">Create the measures, name them the way the business names them, and describe them.</t>
  </si>
  <si>
    <t xml:space="preserve">Invented aggregations that do not match the organization's official definition.</t>
  </si>
  <si>
    <t xml:space="preserve">Semantic model best practices for data agent; Optimize your semantic model for Copilot in Power BI</t>
  </si>
  <si>
    <t xml:space="preserve">MEA-002</t>
  </si>
  <si>
    <t xml:space="preserve">Implicit measures are suppressed on AI-visible numeric columns</t>
  </si>
  <si>
    <t xml:space="preserve">Numeric columns in the AI schema must not rely on implicit aggregation where an explicit measure is the intended answer.</t>
  </si>
  <si>
    <t xml:space="preserve">Implicit measures are named as a pitfall producing unpredictable results. A raw numeric column adjacent to a proper measure gives the generator a wrong-but-available option.</t>
  </si>
  <si>
    <t xml:space="preserve">(dax) For AI-visible numeric columns, confirm either an explicit measure covers the metric and the raw column is excluded, or the column's default summarization is deliberately set.  [expected: no unintended implicit aggregation]</t>
  </si>
  <si>
    <t xml:space="preserve">Exclude raw fact numeric columns from the AI schema once explicit measures exist.</t>
  </si>
  <si>
    <t xml:space="preserve">SUM of a raw column returned where a ratio or filtered measure was correct.</t>
  </si>
  <si>
    <t xml:space="preserve">MEA-003</t>
  </si>
  <si>
    <t xml:space="preserve">Default summarization is set correctly on numeric columns</t>
  </si>
  <si>
    <t xml:space="preserve">Every AI-visible numeric column must have a deliberate default summarization - Sum, Average or None - rather than the inherited default.</t>
  </si>
  <si>
    <t xml:space="preserve">Stated requirement, to prevent unintended aggregations. Averaging a ratio column or summing a year is the classic failure.</t>
  </si>
  <si>
    <t xml:space="preserve">(dax) Read the summarizeBy property for AI-visible numeric columns. Flag ratio, percentage, year and key columns not set to None.  [expected: deliberate summarizeBy on every numeric column]</t>
  </si>
  <si>
    <t xml:space="preserve">Set summarizeBy to None on identifiers, years and ratios; set Sum or Average deliberately elsewhere.</t>
  </si>
  <si>
    <t xml:space="preserve">Summed percentages and averaged keys presented as fact.</t>
  </si>
  <si>
    <t xml:space="preserve">MEA-004</t>
  </si>
  <si>
    <t xml:space="preserve">Helper and intermediate measures are excluded from the AI schema</t>
  </si>
  <si>
    <t xml:space="preserve">Only measures that calculate an actual business metric may be AI-visible; helper measures and intermediate objects used for report interactivity must be excluded.</t>
  </si>
  <si>
    <t xml:space="preserve">Direct instruction. Including unnecessary measures increases noise and decreases accuracy.</t>
  </si>
  <si>
    <t xml:space="preserve">(manual) Classify every AI-visible measure as business metric or helper; flag helpers.  [expected: business metrics only]</t>
  </si>
  <si>
    <t xml:space="preserve">Hide helper measures and exclude them from the AI data schema; keep them in a clearly named technical display folder.</t>
  </si>
  <si>
    <t xml:space="preserve">Answers built on formatting or selection-state helpers that were never meant to be reported.</t>
  </si>
  <si>
    <t xml:space="preserve">MEA-005</t>
  </si>
  <si>
    <t xml:space="preserve">Near-duplicate measures are eliminated or clearly differentiated</t>
  </si>
  <si>
    <t xml:space="preserve">The AI schema must not expose several measures meaning approximately the same thing - Total Sales, Sales Amount, Revenue - unless each carries a description that makes the distinction explicit.</t>
  </si>
  <si>
    <t xml:space="preserve">Named as a pitfall creating ambiguity for DAX generation. This is one of the most common causes of two users getting two different numbers for the same question.</t>
  </si>
  <si>
    <t xml:space="preserve">(dax) Cluster AI-visible measure names by semantic similarity; review each cluster for genuine distinction.  [equals 0]</t>
  </si>
  <si>
    <t xml:space="preserve">Keep one canonical measure per concept. Where variants are genuinely needed, encode the distinction in the name and describe it.</t>
  </si>
  <si>
    <t xml:space="preserve">Inconsistent answers to the same business question, which is the fastest route to losing executive trust.</t>
  </si>
  <si>
    <t xml:space="preserve">MEA-006</t>
  </si>
  <si>
    <t xml:space="preserve">Measures are named in business language, not technical shorthand</t>
  </si>
  <si>
    <t xml:space="preserve">Measure and column names must be descriptive business terms - Average Customer Rating rather than AvgRating, Total Revenue rather than TR_AMT, Sales Region rather than DIM_GEO_01.</t>
  </si>
  <si>
    <t xml:space="preserve">Stated with these exact examples. Abbreviations and acronyms increase error probability, and non-descriptive naming leaves the DAX tool with no context at all.</t>
  </si>
  <si>
    <t xml:space="preserve">(dax) Scan AI-visible object names for abbreviations, underscores, all-caps tokens and source-system prefixes.  [expected: business-friendly names throughout]</t>
  </si>
  <si>
    <t xml:space="preserve">Rename in the semantic layer. Source-system names belong in Power Query, not in the AI-visible model.</t>
  </si>
  <si>
    <t xml:space="preserve">The generator has no basis for mapping a user's words to your fields.</t>
  </si>
  <si>
    <t xml:space="preserve">MEA-007</t>
  </si>
  <si>
    <t xml:space="preserve">Commonly requested measures are pre-built rather than left to generation</t>
  </si>
  <si>
    <t xml:space="preserve">Frequently requested calculations - YTD, month-over-month growth, prior-year comparison, run rate - must exist as measures instead of relying on the generator to compose them.</t>
  </si>
  <si>
    <t xml:space="preserve">Guidance to include commonly requested measures users are likely to need, with YTD Sales and MoM Growth given as examples. Pre-built beats generated every time on both accuracy and cost.</t>
  </si>
  <si>
    <t xml:space="preserve">(manual) Compare the top question patterns against the measure inventory; flag common patterns with no backing measure.  [expected: measures for common patterns]</t>
  </si>
  <si>
    <t xml:space="preserve">Build the top time-intelligence and comparison measures explicitly. Each one removes a whole class of generation errors.</t>
  </si>
  <si>
    <t xml:space="preserve">The generator writes time intelligence from scratch on every question, slowly and sometimes wrongly.</t>
  </si>
  <si>
    <t xml:space="preserve">MEA-008</t>
  </si>
  <si>
    <t xml:space="preserve">Business KPIs are defined in the model</t>
  </si>
  <si>
    <t xml:space="preserve">Business-relevant KPIs such as ROI, CAC and LTV should be defined as measures where they are part of the question scope.</t>
  </si>
  <si>
    <t xml:space="preserve">Stated as a requirement with these examples. A KPI the business talks about but the model does not contain is a guaranteed hallucination opportunity.</t>
  </si>
  <si>
    <t xml:space="preserve">(manual) Compare the business KPI catalogue to the measure inventory.  [expected: KPI measures present]</t>
  </si>
  <si>
    <t xml:space="preserve">Implement the KPIs with the official definitions and describe the calculation basis.</t>
  </si>
  <si>
    <t xml:space="preserve">Users ask for a named KPI and receive an approximation the generator assembled.</t>
  </si>
  <si>
    <t xml:space="preserve">MEA-009</t>
  </si>
  <si>
    <t xml:space="preserve">Calculation groups carry item names in the description</t>
  </si>
  <si>
    <t xml:space="preserve">Every calculation group must have a description that lists and explains its calculation items, within the first 200 characters.</t>
  </si>
  <si>
    <t xml:space="preserve">Copilot struggles to use calculation groups; the documented mitigation is to include the calculation item names in the description, which is truncated at 200 characters.</t>
  </si>
  <si>
    <t xml:space="preserve">(dax) For each calculation group, confirm the description names the items and that the essential content sits in the first 200 characters.  [expected: item names within first 200 chars]</t>
  </si>
  <si>
    <t xml:space="preserve">Front-load the item names, then any explanation. Anything past character 200 is not read.</t>
  </si>
  <si>
    <t xml:space="preserve">Calculation groups are effectively invisible and time-intelligence answers ignore them.</t>
  </si>
  <si>
    <t xml:space="preserve">MEA-010</t>
  </si>
  <si>
    <t xml:space="preserve">DAX comments are not used to convey meaning to Copilot</t>
  </si>
  <si>
    <t xml:space="preserve">Semantic context must live in descriptions, not in DAX comments.</t>
  </si>
  <si>
    <t xml:space="preserve">Comments in DAX expressions are explicitly excluded from grounding data. Teams document measures in comments and assume Copilot reads them.</t>
  </si>
  <si>
    <t xml:space="preserve">(dax) Sample measures with substantial comment blocks and confirm the same context exists in the description.  [expected: context duplicated into description]</t>
  </si>
  <si>
    <t xml:space="preserve">Move the business meaning into the description; keep comments for maintainers.</t>
  </si>
  <si>
    <t xml:space="preserve">Carefully documented measures that Copilot understands no better than undocumented ones.</t>
  </si>
  <si>
    <t xml:space="preserve">MEA-011</t>
  </si>
  <si>
    <t xml:space="preserve">Newer DAX functions are used cautiously in AI-facing models</t>
  </si>
  <si>
    <t xml:space="preserve">Where a model relies on recently introduced DAX functions or syntax, the team must test AI behaviour against those measures specifically.</t>
  </si>
  <si>
    <t xml:space="preserve">Copilot has limited training data for newer DAX functions and syntax and may produce mistakes with them.</t>
  </si>
  <si>
    <t xml:space="preserve">(manual) Identify measures using recent DAX functions and include them in the golden question set.  [expected: covered by tests]</t>
  </si>
  <si>
    <t xml:space="preserve">Wrap the newer logic in a stable named measure so the generator references rather than rewrites it.</t>
  </si>
  <si>
    <t xml:space="preserve">Generation errors concentrated in the newest parts of the model.</t>
  </si>
  <si>
    <t xml:space="preserve">MEA-012</t>
  </si>
  <si>
    <t xml:space="preserve">Variable-heavy measures are validated for filter and grouping behaviour</t>
  </si>
  <si>
    <t xml:space="preserve">Measures making heavy use of DAX variables must be tested, because Copilot may inappropriately filter or group on already-declared variables.</t>
  </si>
  <si>
    <t xml:space="preserve">Named as a specific known failure mode.</t>
  </si>
  <si>
    <t xml:space="preserve">(manual) Include variable-heavy measures in the golden question set and inspect the generated DAX.  [expected: tested]</t>
  </si>
  <si>
    <t xml:space="preserve">Simplify the public-facing measure and push variable complexity into helper measures excluded from the AI schema.</t>
  </si>
  <si>
    <t xml:space="preserve">Subtly wrong filter context in generated queries.</t>
  </si>
  <si>
    <t xml:space="preserve">Data types &amp; data quality  -  5 rules, area weight 5</t>
  </si>
  <si>
    <t xml:space="preserve">DAT-001</t>
  </si>
  <si>
    <t xml:space="preserve">Data types are correct and consistent across tables</t>
  </si>
  <si>
    <t xml:space="preserve">Every AI-visible column must carry the correct data type - amounts as decimal, dates as date, identifiers as whole number - consistently across tables.</t>
  </si>
  <si>
    <t xml:space="preserve">Stated requirement with these exact examples. A numeric amount stored as text cannot be aggregated and the generator will not tell you why the answer is empty.</t>
  </si>
  <si>
    <t xml:space="preserve">(dax) Run the Best Practice Analyzer data type rules across AI-visible columns.  [expected: correct types throughout]</t>
  </si>
  <si>
    <t xml:space="preserve">Fix types in Power Query or the source; do not paper over with DAX conversion in measures.</t>
  </si>
  <si>
    <t xml:space="preserve">Empty or wrong aggregations that look like missing data.</t>
  </si>
  <si>
    <t xml:space="preserve">DAT-002</t>
  </si>
  <si>
    <t xml:space="preserve">Categorical values are standardized</t>
  </si>
  <si>
    <t xml:space="preserve">Values in AI-visible categorical columns must be standardized - Open, Closed, Pending - without mixed case, trailing whitespace, or synonym variants of the same state.</t>
  </si>
  <si>
    <t xml:space="preserve">Data consistency with standardized values is a stated requirement. Instance-value matching is literal; 'open', 'Open ' and 'OPEN' are three different filter targets.</t>
  </si>
  <si>
    <t xml:space="preserve">(dax) Profile distinct values per AI-visible categorical column; flag case and whitespace variants of the same value.  [expected: standardized values]</t>
  </si>
  <si>
    <t xml:space="preserve">Normalize in the transformation layer and add a data quality test to keep it normalized.</t>
  </si>
  <si>
    <t xml:space="preserve">Filters match a subset of the rows they should, producing understated numbers that look valid.</t>
  </si>
  <si>
    <t xml:space="preserve">DAT-003</t>
  </si>
  <si>
    <t xml:space="preserve">Format strings are set on AI-visible measures and columns</t>
  </si>
  <si>
    <t xml:space="preserve">Measures and columns must carry appropriate format strings, since format string is part of the grounding data.</t>
  </si>
  <si>
    <t xml:space="preserve">Format strings are listed among the semantic model properties supplied as grounding data in both the data-question and DAX query view paths. They tell the generator whether a number is currency, a percentage or a count.</t>
  </si>
  <si>
    <t xml:space="preserve">(dax) List AI-visible measures and numeric columns with empty or default format strings.  [expected: explicit format strings]</t>
  </si>
  <si>
    <t xml:space="preserve">Set currency, percentage and precision formats explicitly.</t>
  </si>
  <si>
    <t xml:space="preserve">Percentages presented as raw decimals and currency without denomination.</t>
  </si>
  <si>
    <t xml:space="preserve">DAT-004</t>
  </si>
  <si>
    <t xml:space="preserve">Data categories are set where they carry semantic meaning</t>
  </si>
  <si>
    <t xml:space="preserve">Columns representing geography, URLs, images or barcodes must have the appropriate data category set.</t>
  </si>
  <si>
    <t xml:space="preserve">Data category is explicitly part of the grounding data supplied to Copilot.</t>
  </si>
  <si>
    <t xml:space="preserve">(dax) Check data category on geographic and URL columns in the AI schema.  [expected: set where applicable]</t>
  </si>
  <si>
    <t xml:space="preserve">Set City, State/Province, Country and Postal Code categories on the relevant columns.</t>
  </si>
  <si>
    <t xml:space="preserve">Weaker map visual selection and geographic reasoning.</t>
  </si>
  <si>
    <t xml:space="preserve">DAT-005</t>
  </si>
  <si>
    <t xml:space="preserve">High-cardinality columns are identified and justified</t>
  </si>
  <si>
    <t xml:space="preserve">High-cardinality columns must be identified with the Semantic Model Memory Analyzer and either removed, or justified and excluded from the AI data schema.</t>
  </si>
  <si>
    <t xml:space="preserve">Named as a target of analysis alongside incorrect data types and inefficient DAX. High cardinality drives both model size and the instance-value index budget.</t>
  </si>
  <si>
    <t xml:space="preserve">(vpax) Rank AI-visible columns by cardinality from a VPAX extract; review the top of the list for necessity.  [expected: reviewed and justified]</t>
  </si>
  <si>
    <t xml:space="preserve">Remove, bucket, or exclude from the AI schema. A transaction ID needs no place in a natural-language surface.</t>
  </si>
  <si>
    <t xml:space="preserve">Index budget exhausted by columns nobody asks about, starving the ones they do.</t>
  </si>
  <si>
    <t xml:space="preserve">Security, RLS &amp; compliance  -  8 rules, area weight 8</t>
  </si>
  <si>
    <t xml:space="preserve">SEC-001</t>
  </si>
  <si>
    <t xml:space="preserve">RLS is defined for sensitive data reachable by AI</t>
  </si>
  <si>
    <t xml:space="preserve">security</t>
  </si>
  <si>
    <t xml:space="preserve">Row-level security roles must be defined and assigned for any sensitive data reachable through a Copilot or agent surface.</t>
  </si>
  <si>
    <t xml:space="preserve">Defining role-level access for sensitive data is a stated metadata and security requirement. AI surfaces do not create new security, but they do remove the friction that used to limit exposure.</t>
  </si>
  <si>
    <t xml:space="preserve">(dax) Enumerate RLS roles and their assignments for in-scope models; confirm coverage of the sensitive tables identified in the data classification.  [expected: RLS defined and assigned]</t>
  </si>
  <si>
    <t xml:space="preserve">Define the roles, assign the groups, and test with View As before enabling AI on the model.</t>
  </si>
  <si>
    <t xml:space="preserve">Conversational access to data the user was never intended to see.</t>
  </si>
  <si>
    <t xml:space="preserve">SEC-002</t>
  </si>
  <si>
    <t xml:space="preserve">RLS behaviour is tested through the AI surface itself, not only in reports</t>
  </si>
  <si>
    <t xml:space="preserve">Every RLS role must be tested by asking representative questions through Copilot and through each data agent, not only by validating reports.</t>
  </si>
  <si>
    <t xml:space="preserve">Report-level RLS validation does not exercise the generated-query path. The generator composes queries no report author wrote, and those are the queries whose security behaviour matters here.</t>
  </si>
  <si>
    <t xml:space="preserve">(manual) For each role, run the golden question set as a member of that role and confirm results are correctly restricted.  [expected: per-role AI test evidence]</t>
  </si>
  <si>
    <t xml:space="preserve">Add per-role AI testing to the release checklist with recorded evidence.</t>
  </si>
  <si>
    <t xml:space="preserve">An RLS gap that only manifests on generated queries reaches production undetected.</t>
  </si>
  <si>
    <t xml:space="preserve">Established semantic modeling / Copilot tuning practice (not a single Microsoft doc); Optimize your semantic model for Copilot in Power BI</t>
  </si>
  <si>
    <t xml:space="preserve">SEC-003</t>
  </si>
  <si>
    <t xml:space="preserve">Report metadata sensitivity is assessed before enabling Copilot</t>
  </si>
  <si>
    <t xml:space="preserve">Before enabling Copilot on a report, confirm that report metadata - which can include column values - does not carry data unsuitable for transmission to the AI service.</t>
  </si>
  <si>
    <t xml:space="preserve">Explicit caution: report metadata may contain sensitive data such as column values, and it forms part of the grounding data sent for questions about visuals.</t>
  </si>
  <si>
    <t xml:space="preserve">(manual) Review in-scope reports for hard-coded filter values, slicer defaults and titles containing sensitive identifiers.  [expected: assessment recorded]</t>
  </si>
  <si>
    <t xml:space="preserve">Remove sensitive literals from report metadata, or exclude the report from the AI surface.</t>
  </si>
  <si>
    <t xml:space="preserve">Sensitive values leave the tenant boundary inside grounding data.</t>
  </si>
  <si>
    <t xml:space="preserve">SEC-004</t>
  </si>
  <si>
    <t xml:space="preserve">Agent permission model is understood - read access, not Build</t>
  </si>
  <si>
    <t xml:space="preserve">The agent access design must reflect that a Power BI semantic model source requires only Read permission, not Build, and that the agent operates with the consuming user's read access.</t>
  </si>
  <si>
    <t xml:space="preserve">Stated directly. Teams often assume Build permission gates agent access and design their security around an assumption that does not hold.</t>
  </si>
  <si>
    <t xml:space="preserve">(manual) Document the permission required per source type and confirm the access design matches.  [expected: documented and matching]</t>
  </si>
  <si>
    <t xml:space="preserve">Re-derive the access design from actual permission requirements and re-test with a least-privileged account.</t>
  </si>
  <si>
    <t xml:space="preserve">Broader effective access than the security design intended.</t>
  </si>
  <si>
    <t xml:space="preserve">SEC-005</t>
  </si>
  <si>
    <t xml:space="preserve">Agents are confirmed read-only against every source</t>
  </si>
  <si>
    <t xml:space="preserve">Confirm and document that agents issue only read queries - no create, update or delete - across SQL, DAX and KQL sources.</t>
  </si>
  <si>
    <t xml:space="preserve">Documented behaviour, and worth recording explicitly because it is the question every security reviewer asks first.</t>
  </si>
  <si>
    <t xml:space="preserve">(manual) Record the read-only constraint in the security design and confirm source permissions do not grant write regardless.  [expected: documented and enforced at source]</t>
  </si>
  <si>
    <t xml:space="preserve">Grant the agent's effective identity read-only permissions at the source as defence in depth.</t>
  </si>
  <si>
    <t xml:space="preserve">Reliance on application behaviour where a source permission would be the durable control.</t>
  </si>
  <si>
    <t xml:space="preserve">SEC-006</t>
  </si>
  <si>
    <t xml:space="preserve">Non-Fabric consumption paths are assessed for compliance boundary exit</t>
  </si>
  <si>
    <t xml:space="preserve">Where agents are consumed from Microsoft Foundry, Copilot Studio, Microsoft 365 Copilot or an MCP server, the compliance implication must be assessed and approved.</t>
  </si>
  <si>
    <t xml:space="preserve">Explicit warning: responses consumed from non-Fabric services may be sent outside Fabric's compliance boundary or geographic region, governed by the consuming service's terms rather than Fabric's.</t>
  </si>
  <si>
    <t xml:space="preserve">(manual) List every consumption surface per agent and confirm compliance sign-off for each non-Fabric path.  [expected: sign-off per external surface]</t>
  </si>
  <si>
    <t xml:space="preserve">Restrict external consumption to agents whose data classification permits it.</t>
  </si>
  <si>
    <t xml:space="preserve">Regulated data leaves the assessed compliance boundary through a surface nobody reviewed.</t>
  </si>
  <si>
    <t xml:space="preserve">SEC-007</t>
  </si>
  <si>
    <t xml:space="preserve">Sensitivity labels are applied and their AI behaviour understood</t>
  </si>
  <si>
    <t xml:space="preserve">In-scope semantic models and reports must carry sensitivity labels consistent with the organization's classification scheme.</t>
  </si>
  <si>
    <t xml:space="preserve">Labels are the mechanism through which downstream protection and DLP decisions are made on AI-surfaced content.</t>
  </si>
  <si>
    <t xml:space="preserve">(api) Report label coverage across in-scope items.  [gte 100 percent of in-scope items]</t>
  </si>
  <si>
    <t xml:space="preserve">Apply labels and enforce mandatory labelling on AI-enabled workspaces.</t>
  </si>
  <si>
    <t xml:space="preserve">No basis for downstream protection decisions on AI output.</t>
  </si>
  <si>
    <t xml:space="preserve">Established semantic modeling / Copilot tuning practice (not a single Microsoft doc); Fabric data agent creation</t>
  </si>
  <si>
    <t xml:space="preserve">SEC-008</t>
  </si>
  <si>
    <t xml:space="preserve">Object-level security interaction with AI grounding is tested</t>
  </si>
  <si>
    <t xml:space="preserve">Where OLS is in use, confirm through testing how restricted objects behave in Copilot grounding and in generated queries.</t>
  </si>
  <si>
    <t xml:space="preserve">OLS restricts metadata visibility, which interacts with schema grounding in ways that need empirical confirmation on your own model rather than assumption.</t>
  </si>
  <si>
    <t xml:space="preserve">(manual) Test as an OLS-restricted user and record whether restricted objects appear in grounding or generated DAX.  [expected: tested and recorded]</t>
  </si>
  <si>
    <t xml:space="preserve">Record actual observed behaviour per model and feed it into the security design.</t>
  </si>
  <si>
    <t xml:space="preserve">OLS assumptions that do not hold on the AI path.</t>
  </si>
  <si>
    <t xml:space="preserve">Verified answers  -  7 rules, area weight 6</t>
  </si>
  <si>
    <t xml:space="preserve">VER-001</t>
  </si>
  <si>
    <t xml:space="preserve">Verified answers exist for the highest-frequency questions</t>
  </si>
  <si>
    <t xml:space="preserve">The most frequently asked and highest-consequence questions in the scope must be covered by verified answers rather than left to generation.</t>
  </si>
  <si>
    <t xml:space="preserve">A verified answer returns a curated visual instead of triggering DAX generation. It is the most direct fix for both latency and correctness on the questions that matter most, and it is the mechanism that stops repeated broad scans for the same recurring question.</t>
  </si>
  <si>
    <t xml:space="preserve">(manual) Rank in-scope questions by frequency and consequence; confirm the top tier has verified answers.  [expected: coverage of top-tier questions]</t>
  </si>
  <si>
    <t xml:space="preserve">Build verified answers from existing report visuals for the top questions before tuning anything else.</t>
  </si>
  <si>
    <t xml:space="preserve">Every recurring question re-plans a query from scratch, at full token and scan cost, with non-deterministic results.</t>
  </si>
  <si>
    <t xml:space="preserve">VER-002</t>
  </si>
  <si>
    <t xml:space="preserve">Each verified answer carries five to seven trigger questions</t>
  </si>
  <si>
    <t xml:space="preserve">Every verified answer should define roughly five to seven trigger questions covering natural variations in phrasing, including both formal and conversational wording.</t>
  </si>
  <si>
    <t xml:space="preserve">Stated explicitly as five to seven trigger questions per verified answer. Too few and the answer never fires; the trigger set is what determines hit rate.</t>
  </si>
  <si>
    <t xml:space="preserve">5-7 trigger questions per verified answer (soft)</t>
  </si>
  <si>
    <t xml:space="preserve">(manual) Count trigger questions per verified answer and review phrasing variety.  [between [5, 7] trigger questions]</t>
  </si>
  <si>
    <t xml:space="preserve">Harvest real phrasings from usage logs and support requests rather than writing variations from imagination.</t>
  </si>
  <si>
    <t xml:space="preserve">Verified answers exist but rarely fire, so the tuning effort produces no measurable benefit.</t>
  </si>
  <si>
    <t xml:space="preserve">VER-003</t>
  </si>
  <si>
    <t xml:space="preserve">Verified answers use no more than three filters</t>
  </si>
  <si>
    <t xml:space="preserve">Configure up to three filters per verified answer to keep it flexible for slicing.</t>
  </si>
  <si>
    <t xml:space="preserve">Documented limit of three filters per verified answer.</t>
  </si>
  <si>
    <t xml:space="preserve">3 filters per verified answer (hard)</t>
  </si>
  <si>
    <t xml:space="preserve">(manual) Count configured filters per verified answer.  [lte 3 filters]</t>
  </si>
  <si>
    <t xml:space="preserve">Where more slicing is needed, create a second verified answer rather than overloading one.</t>
  </si>
  <si>
    <t xml:space="preserve">Configuration rejected or the answer becomes too narrow to fire.</t>
  </si>
  <si>
    <t xml:space="preserve">VER-004</t>
  </si>
  <si>
    <t xml:space="preserve">No verified answer references a hidden column</t>
  </si>
  <si>
    <t xml:space="preserve">Verified answers must not reference hidden columns or measures.</t>
  </si>
  <si>
    <t xml:space="preserve">Stated flatly: verified answers will not work if they reference hidden columns. The failure is silent, which makes it expensive to diagnose.</t>
  </si>
  <si>
    <t xml:space="preserve">(manual) For each verified answer, resolve referenced objects and confirm none are hidden.  [equals 0]</t>
  </si>
  <si>
    <t xml:space="preserve">Unhide the referenced object or rebuild the verified answer on a visible equivalent.</t>
  </si>
  <si>
    <t xml:space="preserve">Verified answers silently never fire and the team concludes the feature does not work.</t>
  </si>
  <si>
    <t xml:space="preserve">VER-005</t>
  </si>
  <si>
    <t xml:space="preserve">Verified answers are re-saved after any referenced object is renamed</t>
  </si>
  <si>
    <t xml:space="preserve">Renaming a table, column or measure referenced by a verified answer requires updating and re-saving that verified answer.</t>
  </si>
  <si>
    <t xml:space="preserve">Explicit rule. Renames are routine during model tuning, so this breaks constantly unless it is part of the change process.</t>
  </si>
  <si>
    <t xml:space="preserve">(manual) Confirm the model change process includes a verified-answer revalidation step after renames.  [expected: step present in change process]</t>
  </si>
  <si>
    <t xml:space="preserve">Add verified answer revalidation to the rename checklist and to the release pipeline.</t>
  </si>
  <si>
    <t xml:space="preserve">A cosmetic rename silently disables the curated answers protecting your top questions.</t>
  </si>
  <si>
    <t xml:space="preserve">VER-006</t>
  </si>
  <si>
    <t xml:space="preserve">Verified answer authoring prerequisites are met</t>
  </si>
  <si>
    <t xml:space="preserve">Authors creating verified answers in the Power BI service must be in a Copilot-enabled workspace, hold authoring permission on the underlying semantic model, be on a report page in edit mode, with the visual selected.</t>
  </si>
  <si>
    <t xml:space="preserve">All five conditions are documented prerequisites. When the option is greyed out, one of them is unmet - this list is the diagnostic.</t>
  </si>
  <si>
    <t xml:space="preserve">(manual) Confirm the authoring team meets all five conditions and that the checklist is in the authoring guide.  [expected: all prerequisites met]</t>
  </si>
  <si>
    <t xml:space="preserve">Publish the five conditions in the authoring guide as a troubleshooting checklist.</t>
  </si>
  <si>
    <t xml:space="preserve">Authors blocked with no visible reason and the capability goes unused.</t>
  </si>
  <si>
    <t xml:space="preserve">VER-007</t>
  </si>
  <si>
    <t xml:space="preserve">Verified answer coverage is measured against actual question volume</t>
  </si>
  <si>
    <t xml:space="preserve">The proportion of real user questions answered by a verified answer rather than by generation must be measured and tracked over time.</t>
  </si>
  <si>
    <t xml:space="preserve">Coverage is the leading indicator for both cost and consistency. It is also the only way to know whether verified-answer investment is paying back.</t>
  </si>
  <si>
    <t xml:space="preserve">(manual) Sample real questions over a period and classify each as verified-answer hit or generated. Report the hit rate.  [gte 40 percent of questions (recommended starting target)]</t>
  </si>
  <si>
    <t xml:space="preserve">Feed the miss list back into verified answer creation each cycle. The threshold here is a working target, not a Microsoft-published figure.</t>
  </si>
  <si>
    <t xml:space="preserve">No feedback loop; verified answers stay frozen at their initial guess of what users would ask.</t>
  </si>
  <si>
    <t xml:space="preserve">AI instructions  -  5 rules, area weight 6</t>
  </si>
  <si>
    <t xml:space="preserve">INS-001</t>
  </si>
  <si>
    <t xml:space="preserve">AI instructions exist and carry business context</t>
  </si>
  <si>
    <t xml:space="preserve">AI instructions must be configured with industry and business context, key terminology definitions, table and field mapping guidance, measure specifications and synonyms, and audience prioritization rules.</t>
  </si>
  <si>
    <t xml:space="preserve">These five content elements are the documented structure. AI instructions influence more Copilot capabilities than any other single configuration - report summary, questions about visuals, questions about the semantic model, create report page, and DAX query.</t>
  </si>
  <si>
    <t xml:space="preserve">(manual) Review the AI instructions against the five required content elements.  [expected: all five elements present]</t>
  </si>
  <si>
    <t xml:space="preserve">Structure the instructions on the documented template, then test with real questions.</t>
  </si>
  <si>
    <t xml:space="preserve">The generator has no map from business vocabulary to model objects.</t>
  </si>
  <si>
    <t xml:space="preserve">INS-002</t>
  </si>
  <si>
    <t xml:space="preserve">AI instructions are configured in Prep for AI, not at data agent level, for semantic models</t>
  </si>
  <si>
    <t xml:space="preserve">For semantic model sources, AI instructions must be set in Prep for AI. Data agent level instructions are ignored for semantic model DAX generation.</t>
  </si>
  <si>
    <t xml:space="preserve">Stated as a direct rule. This is a high-frequency configuration mistake: teams write careful agent instructions for a semantic model source and none of it reaches the DAX generator.</t>
  </si>
  <si>
    <t xml:space="preserve">(manual) For each semantic model source, confirm the substantive instructions live in Prep for AI and that agent-level instructions contain only cross-source guidance.  [expected: instructions in Prep for AI]</t>
  </si>
  <si>
    <t xml:space="preserve">Move semantic model guidance into Prep for AI; keep agent instructions for formatting, routing, abbreviations and tone across sources.</t>
  </si>
  <si>
    <t xml:space="preserve">Instructions written, paid for in tokens, and ignored by the generator.</t>
  </si>
  <si>
    <t xml:space="preserve">INS-003</t>
  </si>
  <si>
    <t xml:space="preserve">Instructions are focused and specific rather than long and complex</t>
  </si>
  <si>
    <t xml:space="preserve">AI instructions must be kept focused and specific; conflicting or overly complex instructions must be avoided.</t>
  </si>
  <si>
    <t xml:space="preserve">Documented on two counts: clear instructions are more effective than complex or conflicting ones, and overly complex instructions reduce accuracy while increasing latency. Instructions are also billed as input tokens on every single request, so verbosity has a direct and recurring CU cost.</t>
  </si>
  <si>
    <t xml:space="preserve">(manual) Review instruction length and internal consistency; flag contradictory directives and unbounded lists.  [expected: focused, non-contradictory instructions]</t>
  </si>
  <si>
    <t xml:space="preserve">Cut instructions to the rules that changed behaviour in testing. Measure the token cost per request before and after.</t>
  </si>
  <si>
    <t xml:space="preserve">Higher latency, higher CU burn on every question, and lower accuracy.</t>
  </si>
  <si>
    <t xml:space="preserve">Semantic model best practices for data agent; Data agent consumption</t>
  </si>
  <si>
    <t xml:space="preserve">INS-004</t>
  </si>
  <si>
    <t xml:space="preserve">Instructions map user terminology to model objects</t>
  </si>
  <si>
    <t xml:space="preserve">Instructions must explicitly map the terms users say to the tables, measures and columns they mean, including synonyms and abbreviations.</t>
  </si>
  <si>
    <t xml:space="preserve">The documented example does exactly this: routing Clients, Customers and Organizations to the Accounts table, and Leads, Deals and Sales Prospects to the opportunities table. Terminology mapping is the highest-yield content in an instruction set.</t>
  </si>
  <si>
    <t xml:space="preserve">(manual) Confirm the instructions contain explicit term-to-object mappings covering the main business vocabulary.  [expected: terminology mappings present]</t>
  </si>
  <si>
    <t xml:space="preserve">Build the mapping from observed user language, not from the data dictionary.</t>
  </si>
  <si>
    <t xml:space="preserve">Correct questions in the users' own words routed to the wrong table.</t>
  </si>
  <si>
    <t xml:space="preserve">INS-005</t>
  </si>
  <si>
    <t xml:space="preserve">Instructions are treated as influence, not guarantee</t>
  </si>
  <si>
    <t xml:space="preserve">Governance documentation and user communication must state that the model interprets instructions but does not guarantee following them exactly.</t>
  </si>
  <si>
    <t xml:space="preserve">Stated directly. It sets the expectation that instructions reduce error rates rather than eliminate them, which is essential framing for any validity discussion.</t>
  </si>
  <si>
    <t xml:space="preserve">(manual) Confirm the limitation is stated in the governance documentation and user-facing guidance.  [expected: documented]</t>
  </si>
  <si>
    <t xml:space="preserve">State it plainly and pair every critical instruction with a verified answer where correctness genuinely matters.</t>
  </si>
  <si>
    <t xml:space="preserve">Instructions treated as a control they are not, leaving critical answers unprotected.</t>
  </si>
  <si>
    <t xml:space="preserve">Fabric data agent configuration  -  10 rules, area weight 10</t>
  </si>
  <si>
    <t xml:space="preserve">AGT-001</t>
  </si>
  <si>
    <t xml:space="preserve">Data source instructions cover authoritative tables, joins, grain and default filters</t>
  </si>
  <si>
    <t xml:space="preserve">Each data source's instructions must state the authoritative tables per subject, the join keys and required join paths, the table grain and deduplication rules, the default filters such as current or active records only, date logic including fiscal calendars and time-zone assumptions, and any required calculations or output columns.</t>
  </si>
  <si>
    <t xml:space="preserve">This is the documented content list for data source instructions, and it is the most direct available control on generated query shape. Default filters in particular are what stops a query scanning full history when the user meant current records.</t>
  </si>
  <si>
    <t xml:space="preserve">(manual) Review each source's instructions against the six documented content areas.  [expected: all six areas covered]</t>
  </si>
  <si>
    <t xml:space="preserve">Write the instructions from the documented list, and be specific about default filters and grain.</t>
  </si>
  <si>
    <t xml:space="preserve">The agent scans wide, joins wrong, double-counts on grain, and returns history when the user meant now.</t>
  </si>
  <si>
    <t xml:space="preserve">AGT-002</t>
  </si>
  <si>
    <t xml:space="preserve">Example queries stay within 100 per data source and demonstrate reusable patterns</t>
  </si>
  <si>
    <t xml:space="preserve">Each data source may carry up to 100 example queries. Each should demonstrate one reusable pattern - multi-table joins or required preaggregation, business-specific calculations, relative dates and fiscal periods or snapshot logic, filters mapping user terminology to stored values, and ranking or window functions.</t>
  </si>
  <si>
    <t xml:space="preserve">100 per data source is the documented cap, and the pattern list is the documented prioritization. Examples are few-shot grounding: they are the most efficient way to teach correct query shape.</t>
  </si>
  <si>
    <t xml:space="preserve">100 example queries per data source (hard)</t>
  </si>
  <si>
    <t xml:space="preserve">(manual) Count example queries per source and review each for a single clear reusable pattern.  [lte 100 example queries per data source]</t>
  </si>
  <si>
    <t xml:space="preserve">Prioritize the five documented pattern categories. Keep each example focused on one pattern; fewer sharp examples beat many overlapping ones, and every example is billed as input tokens on each request.</t>
  </si>
  <si>
    <t xml:space="preserve">Query shapes are reinvented per question, inefficiently and inconsistently.</t>
  </si>
  <si>
    <t xml:space="preserve">Best practices for configuring your data agent; Fabric data agent creation; Data agent consumption</t>
  </si>
  <si>
    <t xml:space="preserve">AGT-003</t>
  </si>
  <si>
    <t xml:space="preserve">The 25 row by 25 column response cap is designed for, not discovered</t>
  </si>
  <si>
    <t xml:space="preserve">Agent question scope and instructions must account for the maximum of 25 rows and 25 columns per response.</t>
  </si>
  <si>
    <t xml:space="preserve">Hard documented cap. An agent asked to list all customers will silently return a truncated view, and the user will not know it is truncated unless the design anticipated this.</t>
  </si>
  <si>
    <t xml:space="preserve">rows=25; columns=25 per response (hard)</t>
  </si>
  <si>
    <t xml:space="preserve">(manual) Review the question scope for enumeration-style questions and confirm instructions direct the agent to aggregate or rank rather than list.  [lte {'rows': 25, 'columns': 25}]</t>
  </si>
  <si>
    <t xml:space="preserve">Instruct the agent to aggregate, rank or top-N by default, and to state when results are truncated.</t>
  </si>
  <si>
    <t xml:space="preserve">Silently truncated answers presented as complete.</t>
  </si>
  <si>
    <t xml:space="preserve">AGT-004</t>
  </si>
  <si>
    <t xml:space="preserve">Agent instructions are reserved for cross-source concerns</t>
  </si>
  <si>
    <t xml:space="preserve">Agent-level instructions must cover only cross-source guidance - formatting, source routing, abbreviations and tone - with source-specific logic held at the source or in Prep for AI.</t>
  </si>
  <si>
    <t xml:space="preserve">Documented scope for agent-level instructions. Mixing source-specific logic into agent instructions both fails to reach the semantic model generator and inflates the token cost of every request across all sources.</t>
  </si>
  <si>
    <t xml:space="preserve">(manual) Review agent instructions for source-specific logic that belongs at source level.  [expected: cross-source content only]</t>
  </si>
  <si>
    <t xml:space="preserve">Relocate source-specific content and keep the agent layer thin.</t>
  </si>
  <si>
    <t xml:space="preserve">Instructions that are simultaneously ignored where needed and billed everywhere.</t>
  </si>
  <si>
    <t xml:space="preserve">AGT-005</t>
  </si>
  <si>
    <t xml:space="preserve">Time filters are required for KQL and time-series sources</t>
  </si>
  <si>
    <t xml:space="preserve">For KQL and Eventhouse sources, agent instructions must direct the inclusion of time filters, and users must be guided to include a time range in their questions.</t>
  </si>
  <si>
    <t xml:space="preserve">Documented performance guidance for KQL time-series data. An unbounded time-series query is the purest form of the scan-everything behaviour.</t>
  </si>
  <si>
    <t xml:space="preserve">(manual) Confirm KQL source instructions mandate a default time window, and that the default is stated.  [expected: default time window defined]</t>
  </si>
  <si>
    <t xml:space="preserve">Set an explicit default such as the last 7 days unless the user states otherwise, and have the agent state the window it used.</t>
  </si>
  <si>
    <t xml:space="preserve">Full-retention scans on every time-series question, at severe latency and CU cost.</t>
  </si>
  <si>
    <t xml:space="preserve">Fabric data agent creation; Best practices for configuring your data agent</t>
  </si>
  <si>
    <t xml:space="preserve">AGT-006</t>
  </si>
  <si>
    <t xml:space="preserve">Agent language scope is limited to English</t>
  </si>
  <si>
    <t xml:space="preserve">The rollout plan must record that non-English languages are not supported by Fabric data agents.</t>
  </si>
  <si>
    <t xml:space="preserve">Documented limitation. It determines which regions and business units can be in scope at all.</t>
  </si>
  <si>
    <t xml:space="preserve">(manual) Confirm the rollout scope and user communication state the English-only constraint.  [expected: documented]</t>
  </si>
  <si>
    <t xml:space="preserve">Scope the audience accordingly and state it in the user guidance rather than letting users discover it.</t>
  </si>
  <si>
    <t xml:space="preserve">Non-English users receive poor answers and attribute it to model quality.</t>
  </si>
  <si>
    <t xml:space="preserve">AGT-007</t>
  </si>
  <si>
    <t xml:space="preserve">Conversation history volatility is accounted for in user guidance</t>
  </si>
  <si>
    <t xml:space="preserve">User guidance must state that conversation history may not persist and can be reset by infrastructure changes, updates or model upgrades, and that a new chat session is recommended when follow-up answers drift.</t>
  </si>
  <si>
    <t xml:space="preserve">Documented behaviour on both counts: history may be lost, and because responses are automatically limited and summarized, follow-ups built on that limited context can go wrong.</t>
  </si>
  <si>
    <t xml:space="preserve">(manual) Confirm the user guidance covers history volatility and the new-session recommendation.  [expected: documented]</t>
  </si>
  <si>
    <t xml:space="preserve">Add it to the user guidance and to the in-product tips where the surface allows.</t>
  </si>
  <si>
    <t xml:space="preserve">Users chase increasingly wrong answers down a degraded context chain.</t>
  </si>
  <si>
    <t xml:space="preserve">AGT-008</t>
  </si>
  <si>
    <t xml:space="preserve">The underlying LLM cannot be changed - accept and design around it</t>
  </si>
  <si>
    <t xml:space="preserve">Design decisions must not assume the ability to substitute the model behind a Fabric data agent.</t>
  </si>
  <si>
    <t xml:space="preserve">Documented limitation. Where model behaviour is unacceptable, the levers are schema, instructions, examples and verified answers - not the model.</t>
  </si>
  <si>
    <t xml:space="preserve">(manual) Confirm no architecture decision depends on model substitution.  [expected: documented]</t>
  </si>
  <si>
    <t xml:space="preserve">Direct tuning effort at the grounding configuration instead.</t>
  </si>
  <si>
    <t xml:space="preserve">Effort spent on an option that does not exist.</t>
  </si>
  <si>
    <t xml:space="preserve">AGT-009</t>
  </si>
  <si>
    <t xml:space="preserve">Agents are split by subject area rather than consolidated</t>
  </si>
  <si>
    <t xml:space="preserve">Where the question scope spans several unrelated subject areas, separate narrowly scoped agents must be used instead of one agent bound to the maximum five sources.</t>
  </si>
  <si>
    <t xml:space="preserve">Follows directly from the documented guidance to select only relevant objects for the question scope in order to reduce ambiguity and latency. A single wide agent must route across every bound source on every question.</t>
  </si>
  <si>
    <t xml:space="preserve">(manual) Review the subject-area breadth of each agent against its bound sources.  [expected: agents scoped to coherent subject areas]</t>
  </si>
  <si>
    <t xml:space="preserve">Split by subject area; accept more agents in exchange for narrower reasoning per question.</t>
  </si>
  <si>
    <t xml:space="preserve">Routing errors and latency scale with source count on every question.</t>
  </si>
  <si>
    <t xml:space="preserve">Best practices for configuring your data agent; Semantic model best practices for data agent</t>
  </si>
  <si>
    <t xml:space="preserve">AGT-010</t>
  </si>
  <si>
    <t xml:space="preserve">Schema object descriptions are used on the preview runtime where available</t>
  </si>
  <si>
    <t xml:space="preserve">Where the preview runtime supports schema object descriptions, they must be applied to abbreviated or generic names, columns with codes, flags, units or category values, date columns tied to a business event, and objects in large schemas.</t>
  </si>
  <si>
    <t xml:space="preserve">Documented as a preview-runtime capability with a specific priority list for where it matters.</t>
  </si>
  <si>
    <t xml:space="preserve">(manual) Confirm the runtime version, then review description coverage across the priority categories.  [expected: descriptions applied where supported]</t>
  </si>
  <si>
    <t xml:space="preserve">Apply descriptions following the documented priority order.</t>
  </si>
  <si>
    <t xml:space="preserve">Non-semantic-model sources reason from bare column names.</t>
  </si>
  <si>
    <t xml:space="preserve">Performance &amp; query efficiency  -  8 rules, area weight 9</t>
  </si>
  <si>
    <t xml:space="preserve">PRF-001</t>
  </si>
  <si>
    <t xml:space="preserve">The semantic model is performance-tuned before any AI tuning begins</t>
  </si>
  <si>
    <t xml:space="preserve">Semantic model performance optimization must be completed before Prep for AI configuration, and it is step one of the documented implementation workflow.</t>
  </si>
  <si>
    <t xml:space="preserve">Stated as the starting point: optimize the semantic model for performance first, because a well-optimized model achieves faster query execution and poor performance directly degrades the user experience. No amount of prompt tuning compensates for a model that is slow to query.</t>
  </si>
  <si>
    <t xml:space="preserve">(vpax) Record model size, refresh duration, and p95 query duration from a representative workload before and after AI enablement.  [expected: documented performance baseline]</t>
  </si>
  <si>
    <t xml:space="preserve">Run the Best Practice Analyzer and the Semantic Model Memory Analyzer, fix what they surface, then start AI configuration.</t>
  </si>
  <si>
    <t xml:space="preserve">Every AI question inherits the model's existing slowness and multiplies it by the generator's less efficient DAX.</t>
  </si>
  <si>
    <t xml:space="preserve">PRF-002</t>
  </si>
  <si>
    <t xml:space="preserve">Best Practice Analyzer runs as a gate, not an occasional review</t>
  </si>
  <si>
    <t xml:space="preserve">The Best Practice Analyzer must run against every in-scope model on each release, with results triaged and material findings resolved before deployment.</t>
  </si>
  <si>
    <t xml:space="preserve">Named as the recommended tool for identifying incorrect data types, unnecessary columns, high cardinality columns and inefficient DAX patterns - which are precisely the conditions that make generated queries expensive.</t>
  </si>
  <si>
    <t xml:space="preserve">(api) Confirm BPA runs in the pipeline and review the open finding count and age.  [expected: automated with triaged results]</t>
  </si>
  <si>
    <t xml:space="preserve">Wire BPA into the release pipeline and fail the build on the rule categories you have agreed matter.</t>
  </si>
  <si>
    <t xml:space="preserve">Known-bad patterns accumulate and directly inflate AI query cost.</t>
  </si>
  <si>
    <t xml:space="preserve">PRF-003</t>
  </si>
  <si>
    <t xml:space="preserve">Generated DAX is inspected for scan breadth on representative questions</t>
  </si>
  <si>
    <t xml:space="preserve">For each question in the golden set, the generated DAX must be captured and reviewed for storage engine scan breadth - unfiltered fact scans, missing date filters, and full-column materialization.</t>
  </si>
  <si>
    <t xml:space="preserve">This is the direct measurement of the behaviour to be prevented. Reviewing the generated DAX in each response is documented practice, and scan breadth is the metric that distinguishes a targeted query from an ad-hoc full scan.</t>
  </si>
  <si>
    <t xml:space="preserve">(trace) Capture generated DAX and trace events per golden question. Record storage engine query count, rows scanned, and total duration.  [expected: agreed scan and duration budget per question class]</t>
  </si>
  <si>
    <t xml:space="preserve">Where scans are broad, fix the cause: a missing default filter in instructions, a missing pre-built measure, or a missing verified answer.</t>
  </si>
  <si>
    <t xml:space="preserve">Exactly the ad-hoc-SQL-server behaviour - full scans returned as conversational answers, at full capacity cost.</t>
  </si>
  <si>
    <t xml:space="preserve">PRF-004</t>
  </si>
  <si>
    <t xml:space="preserve">A latency budget exists per question class and is measured</t>
  </si>
  <si>
    <t xml:space="preserve">An explicit response-time budget must be set per question class and measured against real traffic.</t>
  </si>
  <si>
    <t xml:space="preserve">Latency is driven by schema breadth and instruction complexity, both of which are under your control. Without a budget there is no signal telling you when schema drift has started.</t>
  </si>
  <si>
    <t xml:space="preserve">(manual) Record p50 and p95 response time per question class against the documented budget.  [expected: within budget]</t>
  </si>
  <si>
    <t xml:space="preserve">Where the budget is breached, narrow the AI data schema and trim instructions before considering capacity increases.</t>
  </si>
  <si>
    <t xml:space="preserve">Latency regressions go unnoticed until users abandon the feature.</t>
  </si>
  <si>
    <t xml:space="preserve">Semantic model best practices for data agent; Established semantic modeling / Copilot tuning practice (not a single Microsoft doc)</t>
  </si>
  <si>
    <t xml:space="preserve">PRF-005</t>
  </si>
  <si>
    <t xml:space="preserve">Token cost per question is measured and budgeted</t>
  </si>
  <si>
    <t xml:space="preserve">Average input and output tokens per question must be measured per agent, converted to CU seconds, and tracked against a budget.</t>
  </si>
  <si>
    <t xml:space="preserve">Instructions, source instructions, example queries and conversation history are all billed as input tokens on every request, and output bills at four times the uncached input rate. Token growth is the mechanism by which good intentions become an unaffordable AI surface.</t>
  </si>
  <si>
    <t xml:space="preserve">(metrics) From Capacity Metrics AI Query operations, derive average input and output tokens per request and the resulting CU seconds. Track the trend.  [expected: within documented per-question CU budget]</t>
  </si>
  <si>
    <t xml:space="preserve">Trim instructions and examples, exploit cached input where prompt prefixes are stable - cached input is billed at a tenth of the uncached rate - and shift recurring questions to verified answers.</t>
  </si>
  <si>
    <t xml:space="preserve">Per-question cost drifts upward invisibly until the capacity throttles.</t>
  </si>
  <si>
    <t xml:space="preserve">PRF-006</t>
  </si>
  <si>
    <t xml:space="preserve">Prompt prefix stability is preserved to benefit from cached input pricing</t>
  </si>
  <si>
    <t xml:space="preserve">Instructions and example queries should be kept stable between requests so that cached input pricing applies.</t>
  </si>
  <si>
    <t xml:space="preserve">Cached input bills at 10 CU seconds per 1,000 tokens against 100 for uncached - a tenfold difference on the largest and most repetitive part of every request.</t>
  </si>
  <si>
    <t xml:space="preserve">(manual) Confirm instruction and example content is not rewritten per request or per user, and review the observed cached-versus-uncached token mix.  [expected: stable prompt prefix]</t>
  </si>
  <si>
    <t xml:space="preserve">Avoid dynamic per-user instruction injection; put variability in the question, not the prefix.</t>
  </si>
  <si>
    <t xml:space="preserve">Up to ten times the necessary input token cost on every request.</t>
  </si>
  <si>
    <t xml:space="preserve">PRF-007</t>
  </si>
  <si>
    <t xml:space="preserve">Aggregation-first answering is the instructed default</t>
  </si>
  <si>
    <t xml:space="preserve">Instructions must direct the agent to aggregate, rank or top-N by default rather than returning detail rows, unless the user explicitly asks for detail.</t>
  </si>
  <si>
    <t xml:space="preserve">Combines the documented 25 row by 25 column response cap with documented default-filter guidance. Detail-row answers are simultaneously the most expensive to produce and the most likely to be silently truncated.</t>
  </si>
  <si>
    <t xml:space="preserve">(manual) Review instructions for an aggregation-first default and confirm the behaviour on detail-seeking golden questions.  [expected: aggregation-first default stated]</t>
  </si>
  <si>
    <t xml:space="preserve">State it explicitly, and have the agent name the aggregation it chose so users can challenge it.</t>
  </si>
  <si>
    <t xml:space="preserve">Wide, expensive result sets truncated to 25 rows and presented as complete.</t>
  </si>
  <si>
    <t xml:space="preserve">PRF-008</t>
  </si>
  <si>
    <t xml:space="preserve">AI-driven capacity events are correlated with AI usage</t>
  </si>
  <si>
    <t xml:space="preserve">Throttling and overload events on AI-enabled capacities must be investigated with AI Query consumption included in the correlation.</t>
  </si>
  <si>
    <t xml:space="preserve">Copilot consumes the same capacity as everything else and overconsumption can throttle unrelated Fabric operations. Once capacity is exhausted all operations shut down, so the incident presents as a refresh failure rather than an AI problem.</t>
  </si>
  <si>
    <t xml:space="preserve">(metrics) For each throttling event, record whether AI Query consumption was examined as a contributing factor.  [expected: AI included in incident analysis]</t>
  </si>
  <si>
    <t xml:space="preserve">Add AI Query to the standard capacity incident runbook.</t>
  </si>
  <si>
    <t xml:space="preserve">Repeated incidents misattributed to refresh scheduling while the real driver is AI adoption.</t>
  </si>
  <si>
    <t xml:space="preserve">Overview of Copilot in Fabric; Data agent consumption</t>
  </si>
  <si>
    <t xml:space="preserve">Response validity &amp; relevance  -  13 rules, area weight 10</t>
  </si>
  <si>
    <t xml:space="preserve">VAL-001</t>
  </si>
  <si>
    <t xml:space="preserve">A golden question set exists with expected answers</t>
  </si>
  <si>
    <t xml:space="preserve">Each model or agent in scope must have a maintained golden question set with agreed correct answers, covering the declared question scope including edge cases and known-ambiguous phrasings.</t>
  </si>
  <si>
    <t xml:space="preserve">Validation and iteration is a documented workflow step, and the accelerator guidance is explicit that retrieval and generation must be evaluated and tuned before production use. Without a fixed question set with known answers, there is nothing to tune against and no way to detect regression.</t>
  </si>
  <si>
    <t xml:space="preserve">(manual) Confirm a golden set exists, covers the declared scope, has agreed expected answers, and has been run within the last release cycle.  [expected: current golden set with expected answers]</t>
  </si>
  <si>
    <t xml:space="preserve">Build it from real user questions, agree the correct answer with the business data owner, and version it alongside the model.</t>
  </si>
  <si>
    <t xml:space="preserve">Quality is anecdotal, regressions are invisible, and every tuning decision is a guess.</t>
  </si>
  <si>
    <t xml:space="preserve">Semantic model best practices for data agent; chat-with-your-data-solution-accelerator - best practices; microsoft/rag-experiment-accelerator</t>
  </si>
  <si>
    <t xml:space="preserve">VAL-002</t>
  </si>
  <si>
    <t xml:space="preserve">Answer accuracy is scored against the golden set each release</t>
  </si>
  <si>
    <t xml:space="preserve">Every release must score the golden question set and record the pass rate, with a defined minimum for promotion to production.</t>
  </si>
  <si>
    <t xml:space="preserve">Establishes the regression gate. The accelerators' evaluation discipline - measure, tune configuration, re-measure - is directly transferable even though the retrieval mechanics differ.</t>
  </si>
  <si>
    <t xml:space="preserve">(manual) Record pass rate per release and compare against the promotion threshold.  [gte 90 percent of golden questions correct (recommended promotion gate)]</t>
  </si>
  <si>
    <t xml:space="preserve">Gate promotion on the threshold. The 90 percent figure is a working default to be calibrated to your risk appetite, not a Microsoft-published number.</t>
  </si>
  <si>
    <t xml:space="preserve">Model or configuration changes silently degrade answers between releases.</t>
  </si>
  <si>
    <t xml:space="preserve">chat-with-your-data-solution-accelerator - best practices; microsoft/rag-experiment-accelerator; Established semantic modeling / Copilot tuning practice (not a single Microsoft doc)</t>
  </si>
  <si>
    <t xml:space="preserve">VAL-003</t>
  </si>
  <si>
    <t xml:space="preserve">Answer relevance is scored separately from accuracy</t>
  </si>
  <si>
    <t xml:space="preserve">Responses must be scored for relevance - did the answer address the question asked - separately from numeric correctness.</t>
  </si>
  <si>
    <t xml:space="preserve">The RAG evaluation vocabulary separates answer relevance from correctness for good reason: an answer can be arithmetically right and still not respond to what was asked, and the two failures have entirely different fixes.</t>
  </si>
  <si>
    <t xml:space="preserve">(manual) Score each golden response on a relevance scale in addition to the correctness pass or fail. Track the two independently.  [expected: relevance threshold agreed and met]</t>
  </si>
  <si>
    <t xml:space="preserve">Relevance failures point at instructions and terminology mapping; correctness failures point at the model and measures. Route each to the right fix.</t>
  </si>
  <si>
    <t xml:space="preserve">Tuning effort aimed at the wrong layer.</t>
  </si>
  <si>
    <t xml:space="preserve">microsoft/rag-experiment-accelerator; Azure-Samples/chat-with-your-data-solution-accelerator; chat-with-your-data-solution-accelerator - best practices</t>
  </si>
  <si>
    <t xml:space="preserve">VAL-004</t>
  </si>
  <si>
    <t xml:space="preserve">Grounding sufficiency is scored - context precision and recall</t>
  </si>
  <si>
    <t xml:space="preserve">Each golden question must be scored for whether the AI-visible schema contained everything needed to answer it and nothing that misled it.</t>
  </si>
  <si>
    <t xml:space="preserve">Adapted from context precision and context recall. In a natural-language-to-DAX setting the retrieved context is the AI data schema, so precision means the schema was not cluttered with distractors, and recall means nothing required was trimmed away. This is the direct measurement of whether schema reduction has gone too far or not far enough.</t>
  </si>
  <si>
    <t xml:space="preserve">(manual) For each failed golden question, classify the cause as missing schema object (recall failure), distracting schema object (precision failure), or generation error. Track the three counts.  [expected: failure causes classified]</t>
  </si>
  <si>
    <t xml:space="preserve">Recall failures mean adding back a specific object. Precision failures mean removing one. Generation errors mean a verified answer or a pre-built measure. Never respond to a failure by widening the schema generally.</t>
  </si>
  <si>
    <t xml:space="preserve">Schema is widened reflexively after every failure, which is how models drift back to scanning everything.</t>
  </si>
  <si>
    <t xml:space="preserve">microsoft/rag-experiment-accelerator; Established semantic modeling / Copilot tuning practice (not a single Microsoft doc)</t>
  </si>
  <si>
    <t xml:space="preserve">VAL-005</t>
  </si>
  <si>
    <t xml:space="preserve">Generated DAX is reviewed for every golden question, not just the result</t>
  </si>
  <si>
    <t xml:space="preserve">Validation must inspect the generated DAX query in each response, not only whether the returned number looks right.</t>
  </si>
  <si>
    <t xml:space="preserve">Stated as a direct requirement: accuracy depends on the generated DAX being correct, and when results are wrong the DAX is what tells you which configuration layer to adjust. A right answer from wrong DAX is a coincidence that will not survive the next question.</t>
  </si>
  <si>
    <t xml:space="preserve">(manual) Capture and review generated DAX per golden question; confirm filter context, relationship usage and measure selection are correct.  [expected: DAX reviewed per golden question]</t>
  </si>
  <si>
    <t xml:space="preserve">Where the DAX is wrong, identify whether the fix belongs in the model, the AI data schema, verified answers or AI instructions.</t>
  </si>
  <si>
    <t xml:space="preserve">Coincidentally correct answers that fail on the next variation of the same question.</t>
  </si>
  <si>
    <t xml:space="preserve">VAL-006</t>
  </si>
  <si>
    <t xml:space="preserve">Non-determinism is measured by repeat testing</t>
  </si>
  <si>
    <t xml:space="preserve">A subset of golden questions must be asked repeatedly to measure answer variance across runs.</t>
  </si>
  <si>
    <t xml:space="preserve">The model is documented as nondeterministic - the same prompt on the same model may produce different results. Variance is a measurable quality attribute and the strongest argument for verified answers on high-consequence questions.</t>
  </si>
  <si>
    <t xml:space="preserve">(manual) Run a sample of questions several times and record the proportion returning materially different answers.  [expected: variance within agreed tolerance]</t>
  </si>
  <si>
    <t xml:space="preserve">For every high-consequence question showing variance, create a verified answer. That converts a probabilistic answer into a deterministic one.</t>
  </si>
  <si>
    <t xml:space="preserve">Two executives ask the same question and get different numbers, which ends the programme.</t>
  </si>
  <si>
    <t xml:space="preserve">VAL-007</t>
  </si>
  <si>
    <t xml:space="preserve">Numeric answers carry a review expectation</t>
  </si>
  <si>
    <t xml:space="preserve">User guidance must state that AI-generated numeric answers are to be verified against the source report or model before being relied upon for decisions.</t>
  </si>
  <si>
    <t xml:space="preserve">Both the Microsoft guidance and the accelerator guidance say this plainly: inaccurate responses lead to incorrect decisions, and numeric answers should be reviewed against sources. The accelerator adds that its stack is optimized for unstructured data and numeric answers deserve particular scepticism.</t>
  </si>
  <si>
    <t xml:space="preserve">(manual) Confirm the expectation appears in user-facing guidance and in onboarding material.  [expected: documented and communicated]</t>
  </si>
  <si>
    <t xml:space="preserve">State it in onboarding and, where the surface allows, alongside the answer itself.</t>
  </si>
  <si>
    <t xml:space="preserve">Unverified AI numbers enter decisions and reports.</t>
  </si>
  <si>
    <t xml:space="preserve">Use Copilot with semantic models in Power BI; chat-with-your-data-solution-accelerator - best practices</t>
  </si>
  <si>
    <t xml:space="preserve">VAL-008</t>
  </si>
  <si>
    <t xml:space="preserve">Question scope breadth is matched to schema breadth</t>
  </si>
  <si>
    <t xml:space="preserve">The declared question scope must be proportionate to the AI-visible schema: a narrow schema requires a narrow, well-communicated question scope.</t>
  </si>
  <si>
    <t xml:space="preserve">The accelerator states the tradeoff directly - the more limited the data set, the broader the questions should be, and more depth requires more available data. Scope reduction is not free; it must be paired with honest communication about what the surface can answer.</t>
  </si>
  <si>
    <t xml:space="preserve">(manual) Compare the published question scope against the AI-visible schema and confirm they are consistent.  [expected: scope and schema aligned and published]</t>
  </si>
  <si>
    <t xml:space="preserve">Publish what the surface can and cannot answer, and route out-of-scope questions explicitly rather than answering them badly.</t>
  </si>
  <si>
    <t xml:space="preserve">Users ask beyond the schema and receive confident, unsupported answers.</t>
  </si>
  <si>
    <t xml:space="preserve">chat-with-your-data-solution-accelerator - best practices</t>
  </si>
  <si>
    <t xml:space="preserve">VAL-009</t>
  </si>
  <si>
    <t xml:space="preserve">Precision targets are set deliberately per question class</t>
  </si>
  <si>
    <t xml:space="preserve">The required precision must be agreed per question class, recognising that higher precision requirements make a response harder to generate at all.</t>
  </si>
  <si>
    <t xml:space="preserve">Documented tuning guidance: tune prompt configuration to the level of precision required, and the more precision desired the harder it may be to generate a response. Demanding uniform maximum precision produces refusals and non-answers.</t>
  </si>
  <si>
    <t xml:space="preserve">(manual) Confirm question classes carry differentiated precision expectations.  [expected: per-class precision targets]</t>
  </si>
  <si>
    <t xml:space="preserve">Reserve strict precision for financial and regulatory questions; allow exploratory questions to be directional.</t>
  </si>
  <si>
    <t xml:space="preserve">Either dangerous imprecision on regulated numbers or a system that refuses to answer exploratory questions.</t>
  </si>
  <si>
    <t xml:space="preserve">VAL-010</t>
  </si>
  <si>
    <t xml:space="preserve">Configuration changes are evaluated as controlled experiments</t>
  </si>
  <si>
    <t xml:space="preserve">Changes to AI data schema, instructions, examples or verified answers must be evaluated by re-running the golden set and comparing scores against the prior configuration, one variable at a time where practical.</t>
  </si>
  <si>
    <t xml:space="preserve">This is the core method of the RAG Experiment Accelerator - sweep the tunable parameters, measure with a fixed metric set, keep what improves the score - and the shape the Chat with your data accelerator gives it, where chunking, retrieval type and prompt configuration are an explicit admin surface meant to be tuned against your own data rather than shipped at defaults. The tunable surface here is different (schema breadth, instruction content, example count, verified answer coverage) but the discipline transfers exactly.</t>
  </si>
  <si>
    <t xml:space="preserve">(manual) Confirm each configuration change has a before-and-after golden set score recorded against it.  [expected: experiment record per change]</t>
  </si>
  <si>
    <t xml:space="preserve">Keep a tuning log: configuration version, what changed, accuracy, relevance, latency, tokens per question. Revert changes that do not earn their place.</t>
  </si>
  <si>
    <t xml:space="preserve">Configuration accretes on intuition; nobody can say which settings are actually helping and none can safely be removed.</t>
  </si>
  <si>
    <t xml:space="preserve">VAL-011</t>
  </si>
  <si>
    <t xml:space="preserve">User feedback is captured and routed into the tuning backlog</t>
  </si>
  <si>
    <t xml:space="preserve">Thumbs up and down feedback must be collected, reviewed on a defined cadence, and converted into schema, instruction or verified answer changes.</t>
  </si>
  <si>
    <t xml:space="preserve">Feedback via the thumbs controls is part of the documented testing loop. Feedback that is collected but never actioned is worse than none, because it signals responsiveness that does not exist.</t>
  </si>
  <si>
    <t xml:space="preserve">(manual) Confirm feedback is reviewed on a cadence with a named owner, and that items trace to configuration changes.  [expected: active feedback loop]</t>
  </si>
  <si>
    <t xml:space="preserve">Review negative feedback each sprint, classify by the VAL-004 failure taxonomy, and act on the classification.</t>
  </si>
  <si>
    <t xml:space="preserve">The strongest available signal about real-world quality is discarded.</t>
  </si>
  <si>
    <t xml:space="preserve">VAL-012</t>
  </si>
  <si>
    <t xml:space="preserve">Copilot-generated visual filters are understood as potentially misleading</t>
  </si>
  <si>
    <t xml:space="preserve">Reviewers must check whether visuals generated by Copilot carry visual-level filters that a user could not create manually, and communicate this risk.</t>
  </si>
  <si>
    <t xml:space="preserve">Documented limitation: Copilot-generated visuals may contain visual-specific filters users cannot create manually, which can be misleading. A visual that cannot be reproduced by hand cannot be independently verified by the user looking at it.</t>
  </si>
  <si>
    <t xml:space="preserve">(manual) Inspect the filter pane on Copilot-generated visuals during golden set review.  [expected: reviewed]</t>
  </si>
  <si>
    <t xml:space="preserve">Flag the behaviour in user guidance and treat unreproducible visuals as a reason to build a verified answer instead.</t>
  </si>
  <si>
    <t xml:space="preserve">Users act on a chart whose filtering they cannot see or reproduce.</t>
  </si>
  <si>
    <t xml:space="preserve">VAL-013</t>
  </si>
  <si>
    <t xml:space="preserve">Answers are known to be ephemeral and are not treated as reports</t>
  </si>
  <si>
    <t xml:space="preserve">User guidance must state that Copilot answers are static and disappear when the pane closes, so anything needed repeatedly belongs in a report or a verified answer.</t>
  </si>
  <si>
    <t xml:space="preserve">Documented behaviour. It also has a cost consequence: users who re-ask the same question daily because there is nowhere to save the answer are paying full generation cost each time.</t>
  </si>
  <si>
    <t xml:space="preserve">(manual) Confirm the guidance covers ephemerality and directs recurring needs to reports or verified answers.  [expected: documented]</t>
  </si>
  <si>
    <t xml:space="preserve">Track repeatedly asked questions and promote them into reports or verified answers.</t>
  </si>
  <si>
    <t xml:space="preserve">Recurring questions regenerated indefinitely at full cost.</t>
  </si>
  <si>
    <t xml:space="preserve">Operations, ALM &amp; adoption  -  7 rules, area weight 6</t>
  </si>
  <si>
    <t xml:space="preserve">OPS-001</t>
  </si>
  <si>
    <t xml:space="preserve">AI configuration is under source control</t>
  </si>
  <si>
    <t xml:space="preserve">AI data schema, AI instructions and verified answers must be held in source control and deployed through deployment pipelines.</t>
  </si>
  <si>
    <t xml:space="preserve">Implementing source control and deployment pipelines is the final documented step of the workflow. AI configuration is production configuration and deserves the same handling as model code.</t>
  </si>
  <si>
    <t xml:space="preserve">(manual) Confirm the AI configuration is committed to source control and deployed through a pipeline rather than edited directly in production.  [expected: under source control]</t>
  </si>
  <si>
    <t xml:space="preserve">Bring Prep for AI configuration into the repository with the model definition, and remember the post-deployment refresh required by SCH-018.</t>
  </si>
  <si>
    <t xml:space="preserve">Production AI behaviour that nobody can reconstruct, review or roll back.</t>
  </si>
  <si>
    <t xml:space="preserve">Semantic model best practices for data agent; Prepare your data for AI to improve Copilot results (preview)</t>
  </si>
  <si>
    <t xml:space="preserve">OPS-002</t>
  </si>
  <si>
    <t xml:space="preserve">Adoption and usage are measured, not assumed</t>
  </si>
  <si>
    <t xml:space="preserve">Active users, questions per user, question volume by model or agent, and abandonment must be measured and reviewed.</t>
  </si>
  <si>
    <t xml:space="preserve">Enablement without usage measurement cannot tell success from silence, and usage also drives the 14-day activity window that keeps instance value indexes fresh.</t>
  </si>
  <si>
    <t xml:space="preserve">(metrics) Report active users, questions per user and volume by item over the period.  [expected: reported on a cadence]</t>
  </si>
  <si>
    <t xml:space="preserve">Add AI usage to the platform reporting pack alongside report usage.</t>
  </si>
  <si>
    <t xml:space="preserve">No basis for investment decisions and no early warning of abandonment.</t>
  </si>
  <si>
    <t xml:space="preserve">Established semantic modeling / Copilot tuning practice (not a single Microsoft doc); Frequently asked questions about preparing data for AI</t>
  </si>
  <si>
    <t xml:space="preserve">OPS-003</t>
  </si>
  <si>
    <t xml:space="preserve">A named owner exists per AI-enabled model and agent</t>
  </si>
  <si>
    <t xml:space="preserve">Every AI-enabled semantic model and every data agent must have a named business owner and a named technical owner.</t>
  </si>
  <si>
    <t xml:space="preserve">Unapproved models direct users to contact the content owner. If there is no owner, that instruction is a dead end and quality issues have nowhere to go.</t>
  </si>
  <si>
    <t xml:space="preserve">(manual) Confirm both owners are recorded per item in the register and are current.  [expected: owners recorded]</t>
  </si>
  <si>
    <t xml:space="preserve">Assign owners as a precondition of AI enablement.</t>
  </si>
  <si>
    <t xml:space="preserve">Quality issues raised by users go unaddressed and trust decays.</t>
  </si>
  <si>
    <t xml:space="preserve">Copilot in Power BI tutorial: prepare a semantic model for AI; Established semantic modeling / Copilot tuning practice (not a single Microsoft doc)</t>
  </si>
  <si>
    <t xml:space="preserve">OPS-004</t>
  </si>
  <si>
    <t xml:space="preserve">This assessment is re-run on a defined cadence</t>
  </si>
  <si>
    <t xml:space="preserve">The assessment must be re-run at a defined cadence and on any material model, agent or platform change, with results trended over time.</t>
  </si>
  <si>
    <t xml:space="preserve">Every control in this pack decays. Schemas widen, descriptions go stale after renames, instructions accrete, and the platform itself changes underneath - Q&amp;A retirement being a dated example.</t>
  </si>
  <si>
    <t xml:space="preserve">(manual) Confirm the cadence is defined, the last run date is within it, and scores are trended.  [expected: current assessment with trend]</t>
  </si>
  <si>
    <t xml:space="preserve">Schedule it quarterly at minimum, and trigger it on major model or platform changes.</t>
  </si>
  <si>
    <t xml:space="preserve">A one-off assessment that describes a state the estate left months ago.</t>
  </si>
  <si>
    <t xml:space="preserve">OPS-005</t>
  </si>
  <si>
    <t xml:space="preserve">Responsible AI guidance is published to users</t>
  </si>
  <si>
    <t xml:space="preserve">User-facing guidance must cover validation expectations, non-determinism, the limits of the question scope, and how to report a wrong answer.</t>
  </si>
  <si>
    <t xml:space="preserve">Responsible use guidance is emphasised in both the Microsoft documentation and the accelerator guidance, which states plainly that AI-generated content may be incorrect and should be reviewed before use.</t>
  </si>
  <si>
    <t xml:space="preserve">(manual) Confirm the guidance exists, is published where users encounter the AI surface, and covers the four topics.  [expected: published]</t>
  </si>
  <si>
    <t xml:space="preserve">Publish it at the point of use rather than burying it in a policy document.</t>
  </si>
  <si>
    <t xml:space="preserve">Users with no framework for judging or challenging AI output.</t>
  </si>
  <si>
    <t xml:space="preserve">Copilot in Power BI tutorial: prepare a semantic model for AI; chat-with-your-data-solution-accelerator - best practices</t>
  </si>
  <si>
    <t xml:space="preserve">OPS-006</t>
  </si>
  <si>
    <t xml:space="preserve">Data reachable by AI is reviewed against the access model</t>
  </si>
  <si>
    <t xml:space="preserve">Before a source is exposed to an AI surface, confirm that its contents are appropriate for every user who can reach that surface, given the effective permission model.</t>
  </si>
  <si>
    <t xml:space="preserve">The accelerator states the blunt version - only upload data that can be accessed by any user of the application. Fabric's model is more nuanced because RLS and user identity flow through, but the discipline is the same: enumerate who can reach the surface and confirm the content suits the widest reader.</t>
  </si>
  <si>
    <t xml:space="preserve">(manual) For each AI surface, enumerate the effective audience and confirm a content suitability review has been recorded.  [expected: review recorded per surface]</t>
  </si>
  <si>
    <t xml:space="preserve">Where content is not suitable for the widest reader, either narrow the audience or enforce RLS and re-test through the AI path per SEC-002.</t>
  </si>
  <si>
    <t xml:space="preserve">Conversational access materially widens the effective reach of sensitive content.</t>
  </si>
  <si>
    <t xml:space="preserve">chat-with-your-data-solution-accelerator - best practices; Established semantic modeling / Copilot tuning practice (not a single Microsoft doc)</t>
  </si>
  <si>
    <t xml:space="preserve">OPS-007</t>
  </si>
  <si>
    <t xml:space="preserve">Timeout and error behaviour is monitored</t>
  </si>
  <si>
    <t xml:space="preserve">Copilot timeouts and errors, including failures to fetch the LSDL, must be monitored and investigated rather than treated as user error.</t>
  </si>
  <si>
    <t xml:space="preserve">Documented behaviour: Copilot capabilities might time out in rare circumstances because the LSDL cannot be fetched, and responses may time out where the model, DAX or data is too complex. A rising timeout rate is a leading indicator of schema and complexity drift.</t>
  </si>
  <si>
    <t xml:space="preserve">(manual) Track timeout and error rate per model over time.  [expected: within agreed threshold and not trending upward]</t>
  </si>
  <si>
    <t xml:space="preserve">Investigate rising timeouts as a schema breadth or model complexity problem first.</t>
  </si>
  <si>
    <t xml:space="preserve">A measurable early warning of degradation is discarded as noise.</t>
  </si>
  <si>
    <t xml:space="preserve">Prepare your data for AI to improve Copilot results (preview); Use Copilot with semantic models in Power BI</t>
  </si>
  <si>
    <t xml:space="preserve">All rules - flat reference. Score on the area tabs, not here.</t>
  </si>
  <si>
    <t xml:space="preserve">ORG-001</t>
  </si>
  <si>
    <t xml:space="preserve">EXAMPLE ROW - delete before use: your own added rule</t>
  </si>
  <si>
    <t xml:space="preserve">What must be true.</t>
  </si>
  <si>
    <t xml:space="preserve">Why it matters for answer quality or cost.</t>
  </si>
  <si>
    <t xml:space="preserve">e.g. 200 characters (hard)</t>
  </si>
  <si>
    <t xml:space="preserve">(manual) How to gather the evidence.</t>
  </si>
  <si>
    <t xml:space="preserve">What to do about it.</t>
  </si>
  <si>
    <t xml:space="preserve">What goes wrong if you don't.</t>
  </si>
  <si>
    <t xml:space="preserve">Your standard</t>
  </si>
  <si>
    <t xml:space="preserve">link to evidence</t>
  </si>
  <si>
    <t xml:space="preserve">data.platform@contoso</t>
  </si>
  <si>
    <t xml:space="preserve">2026-10-31</t>
  </si>
  <si>
    <t xml:space="preserve">free text</t>
  </si>
  <si>
    <t xml:space="preserve">Hard and soft platform limits encoded in this pack</t>
  </si>
  <si>
    <t xml:space="preserve">Limit</t>
  </si>
  <si>
    <t xml:space="preserve">Unit</t>
  </si>
  <si>
    <t xml:space="preserve">Hard?</t>
  </si>
  <si>
    <t xml:space="preserve">What it means</t>
  </si>
  <si>
    <t xml:space="preserve">Rule title</t>
  </si>
  <si>
    <t xml:space="preserve">tenant</t>
  </si>
  <si>
    <t xml:space="preserve">28</t>
  </si>
  <si>
    <t xml:space="preserve">days</t>
  </si>
  <si>
    <t xml:space="preserve">hard</t>
  </si>
  <si>
    <t xml:space="preserve">Conversation history retention when storage is permitted.</t>
  </si>
  <si>
    <t xml:space="preserve">hours</t>
  </si>
  <si>
    <t xml:space="preserve">soft</t>
  </si>
  <si>
    <t xml:space="preserve">Tenant setting propagation delay.</t>
  </si>
  <si>
    <t xml:space="preserve">capacity</t>
  </si>
  <si>
    <t xml:space="preserve">F2 / P1</t>
  </si>
  <si>
    <t xml:space="preserve">sku</t>
  </si>
  <si>
    <t xml:space="preserve">Minimum paid capacity SKU; trial SKUs unsupported.</t>
  </si>
  <si>
    <t xml:space="preserve">inputPer1kTokens=100; cachedInputPer1kTokens=10; outputPer1kTokens=400</t>
  </si>
  <si>
    <t xml:space="preserve">CU seconds</t>
  </si>
  <si>
    <t xml:space="preserve">Data agent AI Query consumption rates. Query execution against the source engine is billed separately.</t>
  </si>
  <si>
    <t xml:space="preserve">schema</t>
  </si>
  <si>
    <t xml:space="preserve">1000</t>
  </si>
  <si>
    <t xml:space="preserve">entities (tables + columns)</t>
  </si>
  <si>
    <t xml:space="preserve">Maximum model entities indexed for instance values.</t>
  </si>
  <si>
    <t xml:space="preserve">5000000</t>
  </si>
  <si>
    <t xml:space="preserve">instance values</t>
  </si>
  <si>
    <t xml:space="preserve">Upper bound on indexed instance values; a column that would exceed it is skipped entirely.</t>
  </si>
  <si>
    <t xml:space="preserve">100</t>
  </si>
  <si>
    <t xml:space="preserve">characters</t>
  </si>
  <si>
    <t xml:space="preserve">Text values at or above this length are not indexed.</t>
  </si>
  <si>
    <t xml:space="preserve">activityWindowDays=14; directQueryReindexHours=24; columnStatisticsCacheDays=7; firstIndexMinutes=15</t>
  </si>
  <si>
    <t xml:space="preserve">mixed</t>
  </si>
  <si>
    <t xml:space="preserve">Reindexing cadence parameters.</t>
  </si>
  <si>
    <t xml:space="preserve">24</t>
  </si>
  <si>
    <t xml:space="preserve">Maximum propagation time for Prep for AI changes; usually within one hour.</t>
  </si>
  <si>
    <t xml:space="preserve">data sources per agent</t>
  </si>
  <si>
    <t xml:space="preserve">measures</t>
  </si>
  <si>
    <t xml:space="preserve">200</t>
  </si>
  <si>
    <t xml:space="preserve">Description truncation point.</t>
  </si>
  <si>
    <t xml:space="preserve">Only the first 200 characters of a description are used by Copilot.</t>
  </si>
  <si>
    <t xml:space="preserve">2026-12</t>
  </si>
  <si>
    <t xml:space="preserve">date</t>
  </si>
  <si>
    <t xml:space="preserve">Announced Q&amp;A retirement.</t>
  </si>
  <si>
    <t xml:space="preserve">verified</t>
  </si>
  <si>
    <t xml:space="preserve">5-7</t>
  </si>
  <si>
    <t xml:space="preserve">trigger questions per verified answer</t>
  </si>
  <si>
    <t xml:space="preserve">filters per verified answer</t>
  </si>
  <si>
    <t xml:space="preserve">agent</t>
  </si>
  <si>
    <t xml:space="preserve">example queries per data source</t>
  </si>
  <si>
    <t xml:space="preserve">rows=25; columns=25</t>
  </si>
  <si>
    <t xml:space="preserve">per response</t>
  </si>
  <si>
    <t xml:space="preserve">Sources</t>
  </si>
  <si>
    <t xml:space="preserve">Source ID</t>
  </si>
  <si>
    <t xml:space="preserve">URL</t>
  </si>
  <si>
    <t xml:space="preserve">Retrieved</t>
  </si>
  <si>
    <t xml:space="preserve">Note</t>
  </si>
  <si>
    <t xml:space="preserve">ms-copilot-evaluate-data</t>
  </si>
  <si>
    <t xml:space="preserve">https://learn.microsoft.com/en-us/power-bi/create-reports/copilot-evaluate-data</t>
  </si>
  <si>
    <t xml:space="preserve">ms-prepare-data-ai</t>
  </si>
  <si>
    <t xml:space="preserve">https://learn.microsoft.com/en-us/power-bi/create-reports/copilot-prepare-data-ai</t>
  </si>
  <si>
    <t xml:space="preserve">ms-prepare-data-ai-faq</t>
  </si>
  <si>
    <t xml:space="preserve">https://learn.microsoft.com/en-us/power-bi/create-reports/copilot-prepare-data-ai-faq</t>
  </si>
  <si>
    <t xml:space="preserve">ms-copilot-semantic-models</t>
  </si>
  <si>
    <t xml:space="preserve">https://learn.microsoft.com/en-us/power-bi/create-reports/copilot-semantic-models</t>
  </si>
  <si>
    <t xml:space="preserve">ms-tutorial-prepare-model</t>
  </si>
  <si>
    <t xml:space="preserve">https://learn.microsoft.com/en-us/power-bi/create-reports/tutorial-copilot-power-bi-prepare-model</t>
  </si>
  <si>
    <t xml:space="preserve">ms-copilot-enable-powerbi</t>
  </si>
  <si>
    <t xml:space="preserve">https://learn.microsoft.com/en-us/power-bi/create-reports/copilot-enable-power-bi</t>
  </si>
  <si>
    <t xml:space="preserve">ms-copilot-fabric-overview</t>
  </si>
  <si>
    <t xml:space="preserve">Overview of Copilot in Fabric</t>
  </si>
  <si>
    <t xml:space="preserve">https://learn.microsoft.com/en-us/fabric/fundamentals/copilot-fabric-overview</t>
  </si>
  <si>
    <t xml:space="preserve">ms-admin-portal-copilot</t>
  </si>
  <si>
    <t xml:space="preserve">Copilot and Agent admin settings</t>
  </si>
  <si>
    <t xml:space="preserve">https://learn.microsoft.com/en-us/fabric/admin/service-admin-portal-copilot</t>
  </si>
  <si>
    <t xml:space="preserve">ms-concept-data-agent</t>
  </si>
  <si>
    <t xml:space="preserve">https://learn.microsoft.com/en-us/fabric/data-science/concept-data-agent</t>
  </si>
  <si>
    <t xml:space="preserve">ms-agent-best-practices</t>
  </si>
  <si>
    <t xml:space="preserve">https://learn.microsoft.com/en-us/fabric/data-science/data-agent-configuration-best-practices</t>
  </si>
  <si>
    <t xml:space="preserve">ms-agent-semantic-model-bp</t>
  </si>
  <si>
    <t xml:space="preserve">https://learn.microsoft.com/en-us/fabric/data-science/semantic-model-best-practices</t>
  </si>
  <si>
    <t xml:space="preserve">ms-agent-tenant-settings</t>
  </si>
  <si>
    <t xml:space="preserve">https://learn.microsoft.com/en-us/fabric/data-science/data-agent-tenant-settings</t>
  </si>
  <si>
    <t xml:space="preserve">ms-agent-consumption</t>
  </si>
  <si>
    <t xml:space="preserve">https://learn.microsoft.com/en-us/fabric/fundamentals/data-agent-consumption</t>
  </si>
  <si>
    <t xml:space="preserve">practice</t>
  </si>
  <si>
    <t xml:space="preserve">n/a</t>
  </si>
  <si>
    <t xml:space="preserve">Rules marked with this source are engineering judgement built on standard star-schema and DAX practice plus the grounding behaviour documented above. Verify against your own tenant before treating as normative.</t>
  </si>
  <si>
    <t xml:space="preserve">azs-cwyd</t>
  </si>
  <si>
    <t xml:space="preserve">Azure-Samples/chat-with-your-data-solution-accelerator</t>
  </si>
  <si>
    <t xml:space="preserve">https://github.com/Azure-Samples/chat-with-your-data-solution-accelerator</t>
  </si>
  <si>
    <t xml:space="preserve">RAG accelerator over unstructured data. Its architecture differs from Fabric's natural-language-to-DAX/SQL path, so it is used here for the evaluation and configuration-tuning discipline it documents, not for retrieval mechanics.</t>
  </si>
  <si>
    <t xml:space="preserve">azs-cwyd-bp</t>
  </si>
  <si>
    <t xml:space="preserve">https://github.com/Azure-Samples/chat-with-your-data-solution-accelerator/blob/main/docs/best_practices.md</t>
  </si>
  <si>
    <t xml:space="preserve">ms-rag-experiment</t>
  </si>
  <si>
    <t xml:space="preserve">microsoft/rag-experiment-accelerator</t>
  </si>
  <si>
    <t xml:space="preserve">https://github.com/microsoft/rag-experiment-accelerator</t>
  </si>
  <si>
    <t xml:space="preserve">Source of the answer-relevance / context-precision / context-recall / MAP@k evaluation vocabulary and the sweep-and-measure tuning method adapted here.</t>
  </si>
</sst>
</file>

<file path=xl/styles.xml><?xml version="1.0" encoding="utf-8"?>
<styleSheet xmlns="http://schemas.openxmlformats.org/spreadsheetml/2006/main">
  <numFmts count="2">
    <numFmt numFmtId="164" formatCode="General"/>
    <numFmt numFmtId="165" formatCode="0.0"/>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name val="Arial"/>
      <family val="0"/>
      <charset val="1"/>
    </font>
    <font>
      <sz val="10"/>
      <name val="Arial"/>
      <family val="0"/>
      <charset val="1"/>
    </font>
    <font>
      <b val="true"/>
      <sz val="10"/>
      <color rgb="FFFFFFFF"/>
      <name val="Arial"/>
      <family val="0"/>
      <charset val="1"/>
    </font>
    <font>
      <i val="true"/>
      <sz val="9"/>
      <color rgb="FF595959"/>
      <name val="Arial"/>
      <family val="0"/>
      <charset val="1"/>
    </font>
    <font>
      <b val="true"/>
      <sz val="10"/>
      <color rgb="FF000000"/>
      <name val="Arial"/>
      <family val="0"/>
      <charset val="1"/>
    </font>
    <font>
      <i val="true"/>
      <sz val="10"/>
      <color rgb="FF808080"/>
      <name val="Arial"/>
      <family val="0"/>
      <charset val="1"/>
    </font>
    <font>
      <u val="single"/>
      <sz val="10"/>
      <color rgb="FF0563C1"/>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C00000"/>
        <bgColor rgb="FF9C0006"/>
      </patternFill>
    </fill>
    <fill>
      <patternFill patternType="solid">
        <fgColor rgb="FFFFFF00"/>
        <bgColor rgb="FFFFFF00"/>
      </patternFill>
    </fill>
    <fill>
      <patternFill patternType="solid">
        <fgColor rgb="FFFFC000"/>
        <bgColor rgb="FFFF9900"/>
      </patternFill>
    </fill>
    <fill>
      <patternFill patternType="solid">
        <fgColor rgb="FFE26B0A"/>
        <bgColor rgb="FFFF9900"/>
      </patternFill>
    </fill>
    <fill>
      <patternFill patternType="solid">
        <fgColor rgb="FFD9E1F2"/>
        <bgColor rgb="FFD9D9D9"/>
      </patternFill>
    </fill>
    <fill>
      <patternFill patternType="solid">
        <fgColor rgb="FFBFBFBF"/>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tru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false" indent="0" shrinkToFit="false"/>
      <protection locked="true" hidden="false"/>
    </xf>
    <xf numFmtId="164" fontId="9" fillId="7" borderId="1" xfId="0" applyFont="true" applyBorder="true" applyAlignment="true" applyProtection="false">
      <alignment horizontal="center" vertical="center" textRotation="0" wrapText="false" indent="0" shrinkToFit="false"/>
      <protection locked="true" hidden="false"/>
    </xf>
    <xf numFmtId="164" fontId="9" fillId="8"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0">
    <dxf>
      <fill>
        <patternFill>
          <bgColor rgb="FFFFC7CE"/>
        </patternFill>
      </fill>
    </dxf>
    <dxf>
      <fill>
        <patternFill>
          <bgColor rgb="FFC6EFCE"/>
        </patternFill>
      </fill>
    </dxf>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00000"/>
          <bgColor rgb="FF000000"/>
        </patternFill>
      </fill>
    </dxf>
    <dxf>
      <fill>
        <patternFill patternType="solid">
          <fgColor rgb="FFD9E1F2"/>
          <bgColor rgb="FF000000"/>
        </patternFill>
      </fill>
    </dxf>
    <dxf>
      <fill>
        <patternFill patternType="solid">
          <fgColor rgb="FFE26B0A"/>
          <bgColor rgb="FF000000"/>
        </patternFill>
      </fill>
    </dxf>
    <dxf>
      <fill>
        <patternFill patternType="solid">
          <fgColor rgb="FFFFC000"/>
          <bgColor rgb="FF000000"/>
        </patternFill>
      </fill>
    </dxf>
    <dxf>
      <fill>
        <patternFill patternType="solid">
          <fgColor rgb="FF000000"/>
          <bgColor rgb="FF000000"/>
        </patternFill>
      </fill>
    </dxf>
    <dxf>
      <fill>
        <patternFill patternType="solid">
          <fgColor rgb="FF808080"/>
          <bgColor rgb="FF000000"/>
        </patternFill>
      </fill>
    </dxf>
    <dxf>
      <fill>
        <patternFill patternType="solid">
          <fgColor rgb="FFFFFF00"/>
          <bgColor rgb="FF000000"/>
        </patternFill>
      </fill>
    </dxf>
    <dxf>
      <font>
        <name val="Arial"/>
        <charset val="1"/>
        <family val="0"/>
        <b val="1"/>
        <color rgb="FF006100"/>
        <sz val="10"/>
      </font>
      <fill>
        <patternFill>
          <bgColor rgb="FFC6EFCE"/>
        </patternFill>
      </fill>
    </dxf>
    <dxf>
      <font>
        <name val="Arial"/>
        <charset val="1"/>
        <family val="0"/>
        <b val="1"/>
        <color rgb="FF9C5700"/>
        <sz val="10"/>
      </font>
      <fill>
        <patternFill>
          <bgColor rgb="FFFFEB9C"/>
        </patternFill>
      </fill>
    </dxf>
    <dxf>
      <font>
        <name val="Arial"/>
        <charset val="1"/>
        <family val="0"/>
        <b val="1"/>
        <color rgb="FF9C0006"/>
        <sz val="10"/>
      </font>
      <fill>
        <patternFill>
          <bgColor rgb="FFFFC7CE"/>
        </patternFill>
      </fill>
    </dxf>
    <dxf>
      <font>
        <name val="Arial"/>
        <charset val="1"/>
        <family val="0"/>
        <b val="1"/>
        <color rgb="FF595959"/>
        <sz val="10"/>
      </font>
      <fill>
        <patternFill>
          <bgColor rgb="FFD9D9D9"/>
        </patternFill>
      </fill>
    </dxf>
    <dxf>
      <font>
        <name val="Arial"/>
        <charset val="1"/>
        <family val="0"/>
        <b val="1"/>
        <color rgb="FF808080"/>
        <sz val="10"/>
      </font>
      <fill>
        <patternFill>
          <bgColor rgb="FFFFFFFF"/>
        </patternFill>
      </fill>
    </dxf>
    <dxf>
      <fill>
        <patternFill patternType="solid">
          <fgColor rgb="FFBFBFBF"/>
          <bgColor rgb="FF000000"/>
        </patternFill>
      </fill>
    </dxf>
    <dxf>
      <fill>
        <patternFill patternType="solid">
          <fgColor rgb="FFC6EFCE"/>
          <bgColor rgb="FF000000"/>
        </patternFill>
      </fill>
    </dxf>
    <dxf>
      <fill>
        <patternFill patternType="solid">
          <fgColor rgb="FF006100"/>
          <bgColor rgb="FF000000"/>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FCC"/>
      <rgbColor rgb="FFD9E1F2"/>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000"/>
      <rgbColor rgb="FFFF9900"/>
      <rgbColor rgb="FFE26B0A"/>
      <rgbColor rgb="FF595959"/>
      <rgbColor rgb="FF969696"/>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_rels/sheet12.xml.rels><?xml version="1.0" encoding="UTF-8"?>
<Relationships xmlns="http://schemas.openxmlformats.org/package/2006/relationships"><Relationship Id="rId1" Type="http://schemas.openxmlformats.org/officeDocument/2006/relationships/drawing" Target="../drawings/drawing10.xml"/>
</Relationships>
</file>

<file path=xl/worksheets/_rels/sheet13.xml.rels><?xml version="1.0" encoding="UTF-8"?>
<Relationships xmlns="http://schemas.openxmlformats.org/package/2006/relationships"><Relationship Id="rId1" Type="http://schemas.openxmlformats.org/officeDocument/2006/relationships/drawing" Target="../drawings/drawing11.xml"/>
</Relationships>
</file>

<file path=xl/worksheets/_rels/sheet14.xml.rels><?xml version="1.0" encoding="UTF-8"?>
<Relationships xmlns="http://schemas.openxmlformats.org/package/2006/relationships"><Relationship Id="rId1" Type="http://schemas.openxmlformats.org/officeDocument/2006/relationships/drawing" Target="../drawings/drawing12.xml"/>
</Relationships>
</file>

<file path=xl/worksheets/_rels/sheet15.xml.rels><?xml version="1.0" encoding="UTF-8"?>
<Relationships xmlns="http://schemas.openxmlformats.org/package/2006/relationships"><Relationship Id="rId1" Type="http://schemas.openxmlformats.org/officeDocument/2006/relationships/drawing" Target="../drawings/drawing13.xml"/>
</Relationships>
</file>

<file path=xl/worksheets/_rels/sheet16.xml.rels><?xml version="1.0" encoding="UTF-8"?>
<Relationships xmlns="http://schemas.openxmlformats.org/package/2006/relationships"><Relationship Id="rId1" Type="http://schemas.openxmlformats.org/officeDocument/2006/relationships/drawing" Target="../drawings/drawing14.xml"/>
</Relationships>
</file>

<file path=xl/worksheets/_rels/sheet17.xml.rels><?xml version="1.0" encoding="UTF-8"?>
<Relationships xmlns="http://schemas.openxmlformats.org/package/2006/relationships"><Relationship Id="rId1" Type="http://schemas.openxmlformats.org/officeDocument/2006/relationships/drawing" Target="../drawings/drawing15.xml"/>
</Relationships>
</file>

<file path=xl/worksheets/_rels/sheet18.xml.rels><?xml version="1.0" encoding="UTF-8"?>
<Relationships xmlns="http://schemas.openxmlformats.org/package/2006/relationships"><Relationship Id="rId1" Type="http://schemas.openxmlformats.org/officeDocument/2006/relationships/drawing" Target="../drawings/drawing16.xml"/>
</Relationships>
</file>

<file path=xl/worksheets/_rels/sheet19.xml.rels><?xml version="1.0" encoding="UTF-8"?>
<Relationships xmlns="http://schemas.openxmlformats.org/package/2006/relationships"><Relationship Id="rId1" Type="http://schemas.openxmlformats.org/officeDocument/2006/relationships/drawing" Target="../drawings/drawing17.xml"/>
</Relationships>
</file>

<file path=xl/worksheets/_rels/sheet20.xml.rels><?xml version="1.0" encoding="UTF-8"?>
<Relationships xmlns="http://schemas.openxmlformats.org/package/2006/relationships"><Relationship Id="rId1" Type="http://schemas.openxmlformats.org/officeDocument/2006/relationships/hyperlink" Target="https://learn.microsoft.com/en-us/power-bi/create-reports/copilot-evaluate-data" TargetMode="External"/><Relationship Id="rId2" Type="http://schemas.openxmlformats.org/officeDocument/2006/relationships/hyperlink" Target="https://learn.microsoft.com/en-us/power-bi/create-reports/copilot-prepare-data-ai" TargetMode="External"/><Relationship Id="rId3" Type="http://schemas.openxmlformats.org/officeDocument/2006/relationships/hyperlink" Target="https://learn.microsoft.com/en-us/power-bi/create-reports/copilot-prepare-data-ai-faq" TargetMode="External"/><Relationship Id="rId4" Type="http://schemas.openxmlformats.org/officeDocument/2006/relationships/hyperlink" Target="https://learn.microsoft.com/en-us/power-bi/create-reports/copilot-semantic-models" TargetMode="External"/><Relationship Id="rId5" Type="http://schemas.openxmlformats.org/officeDocument/2006/relationships/hyperlink" Target="https://learn.microsoft.com/en-us/power-bi/create-reports/tutorial-copilot-power-bi-prepare-model" TargetMode="External"/><Relationship Id="rId6" Type="http://schemas.openxmlformats.org/officeDocument/2006/relationships/hyperlink" Target="https://learn.microsoft.com/en-us/power-bi/create-reports/copilot-enable-power-bi" TargetMode="External"/><Relationship Id="rId7" Type="http://schemas.openxmlformats.org/officeDocument/2006/relationships/hyperlink" Target="https://learn.microsoft.com/en-us/fabric/fundamentals/copilot-fabric-overview" TargetMode="External"/><Relationship Id="rId8" Type="http://schemas.openxmlformats.org/officeDocument/2006/relationships/hyperlink" Target="https://learn.microsoft.com/en-us/fabric/admin/service-admin-portal-copilot" TargetMode="External"/><Relationship Id="rId9" Type="http://schemas.openxmlformats.org/officeDocument/2006/relationships/hyperlink" Target="https://learn.microsoft.com/en-us/fabric/data-science/concept-data-agent" TargetMode="External"/><Relationship Id="rId10" Type="http://schemas.openxmlformats.org/officeDocument/2006/relationships/hyperlink" Target="https://learn.microsoft.com/en-us/fabric/data-science/data-agent-configuration-best-practices" TargetMode="External"/><Relationship Id="rId11" Type="http://schemas.openxmlformats.org/officeDocument/2006/relationships/hyperlink" Target="https://learn.microsoft.com/en-us/fabric/data-science/semantic-model-best-practices" TargetMode="External"/><Relationship Id="rId12" Type="http://schemas.openxmlformats.org/officeDocument/2006/relationships/hyperlink" Target="https://learn.microsoft.com/en-us/fabric/data-science/data-agent-tenant-settings" TargetMode="External"/><Relationship Id="rId13" Type="http://schemas.openxmlformats.org/officeDocument/2006/relationships/hyperlink" Target="https://learn.microsoft.com/en-us/fabric/fundamentals/data-agent-consumption" TargetMode="External"/><Relationship Id="rId14" Type="http://schemas.openxmlformats.org/officeDocument/2006/relationships/hyperlink" Target="https://github.com/Azure-Samples/chat-with-your-data-solution-accelerator" TargetMode="External"/><Relationship Id="rId15" Type="http://schemas.openxmlformats.org/officeDocument/2006/relationships/hyperlink" Target="https://github.com/Azure-Samples/chat-with-your-data-solution-accelerator/blob/main/docs/best_practices.md" TargetMode="External"/><Relationship Id="rId16" Type="http://schemas.openxmlformats.org/officeDocument/2006/relationships/hyperlink" Target="https://github.com/microsoft/rag-experiment-accelerator"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8"/>
  </cols>
  <sheetData>
    <row r="1" customFormat="false" ht="17.35" hidden="false" customHeight="false" outlineLevel="0" collapsed="false">
      <c r="A1" s="1" t="s">
        <v>0</v>
      </c>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15" hidden="false" customHeight="false" outlineLevel="0" collapsed="false">
      <c r="A5" s="2" t="s">
        <v>5</v>
      </c>
      <c r="B5" s="3" t="n">
        <v>138</v>
      </c>
    </row>
    <row r="6" customFormat="false" ht="15" hidden="false" customHeight="false" outlineLevel="0" collapsed="false">
      <c r="A6" s="2" t="s">
        <v>6</v>
      </c>
      <c r="B6" s="3" t="s">
        <v>7</v>
      </c>
    </row>
    <row r="7" customFormat="false" ht="30" hidden="false" customHeight="true" outlineLevel="0" collapsed="false">
      <c r="A7" s="2" t="s">
        <v>8</v>
      </c>
      <c r="B7" s="3" t="s">
        <v>9</v>
      </c>
    </row>
    <row r="8" customFormat="false" ht="15" hidden="false" customHeight="false" outlineLevel="0" collapsed="false">
      <c r="A8" s="4"/>
      <c r="B8" s="3"/>
    </row>
    <row r="9" customFormat="false" ht="15" hidden="false" customHeight="false" outlineLevel="0" collapsed="false">
      <c r="A9" s="2" t="s">
        <v>10</v>
      </c>
      <c r="B9" s="3"/>
    </row>
    <row r="10" customFormat="false" ht="15" hidden="false" customHeight="false" outlineLevel="0" collapsed="false">
      <c r="A10" s="4" t="s">
        <v>11</v>
      </c>
      <c r="B10" s="3" t="s">
        <v>12</v>
      </c>
    </row>
    <row r="11" customFormat="false" ht="15" hidden="false" customHeight="false" outlineLevel="0" collapsed="false">
      <c r="A11" s="4" t="s">
        <v>13</v>
      </c>
      <c r="B11" s="3" t="s">
        <v>14</v>
      </c>
    </row>
    <row r="12" customFormat="false" ht="30" hidden="false" customHeight="true" outlineLevel="0" collapsed="false">
      <c r="A12" s="4" t="s">
        <v>15</v>
      </c>
      <c r="B12" s="3" t="s">
        <v>16</v>
      </c>
    </row>
    <row r="13" customFormat="false" ht="15" hidden="false" customHeight="false" outlineLevel="0" collapsed="false">
      <c r="A13" s="4" t="s">
        <v>17</v>
      </c>
      <c r="B13" s="3" t="s">
        <v>18</v>
      </c>
    </row>
    <row r="14" customFormat="false" ht="30" hidden="false" customHeight="true" outlineLevel="0" collapsed="false">
      <c r="A14" s="4" t="s">
        <v>19</v>
      </c>
      <c r="B14" s="3" t="s">
        <v>20</v>
      </c>
    </row>
    <row r="15" customFormat="false" ht="15" hidden="false" customHeight="false" outlineLevel="0" collapsed="false">
      <c r="A15" s="4"/>
      <c r="B15" s="3"/>
    </row>
    <row r="16" customFormat="false" ht="30" hidden="false" customHeight="true" outlineLevel="0" collapsed="false">
      <c r="A16" s="2" t="s">
        <v>21</v>
      </c>
      <c r="B16" s="3" t="s">
        <v>22</v>
      </c>
    </row>
    <row r="17" customFormat="false" ht="30" hidden="false" customHeight="true" outlineLevel="0" collapsed="false">
      <c r="A17" s="2" t="s">
        <v>23</v>
      </c>
      <c r="B17" s="3" t="s">
        <v>24</v>
      </c>
    </row>
    <row r="18" customFormat="false" ht="15" hidden="false" customHeight="false" outlineLevel="0" collapsed="false">
      <c r="A18" s="4"/>
      <c r="B18" s="3"/>
    </row>
    <row r="19" customFormat="false" ht="15" hidden="false" customHeight="false" outlineLevel="0" collapsed="false">
      <c r="A19" s="2" t="s">
        <v>25</v>
      </c>
      <c r="B19" s="3"/>
    </row>
    <row r="20" customFormat="false" ht="15" hidden="false" customHeight="false" outlineLevel="0" collapsed="false">
      <c r="A20" s="2" t="s">
        <v>26</v>
      </c>
      <c r="B20" s="3" t="s">
        <v>27</v>
      </c>
    </row>
    <row r="21" customFormat="false" ht="15" hidden="false" customHeight="false" outlineLevel="0" collapsed="false">
      <c r="A21" s="2" t="s">
        <v>28</v>
      </c>
      <c r="B21" s="3" t="s">
        <v>29</v>
      </c>
    </row>
    <row r="22" customFormat="false" ht="15" hidden="false" customHeight="false" outlineLevel="0" collapsed="false">
      <c r="A22" s="2" t="s">
        <v>30</v>
      </c>
      <c r="B22" s="3" t="s">
        <v>31</v>
      </c>
    </row>
    <row r="23" customFormat="false" ht="30" hidden="false" customHeight="true" outlineLevel="0" collapsed="false">
      <c r="A23" s="2" t="s">
        <v>32</v>
      </c>
      <c r="B23" s="3" t="s">
        <v>33</v>
      </c>
    </row>
    <row r="24" customFormat="false" ht="15" hidden="false" customHeight="false" outlineLevel="0" collapsed="false">
      <c r="A24" s="2" t="s">
        <v>34</v>
      </c>
      <c r="B24" s="3" t="s">
        <v>35</v>
      </c>
    </row>
    <row r="25" customFormat="false" ht="15" hidden="false" customHeight="false" outlineLevel="0" collapsed="false">
      <c r="A25" s="4"/>
      <c r="B25" s="3"/>
    </row>
    <row r="26" customFormat="false" ht="15" hidden="false" customHeight="false" outlineLevel="0" collapsed="false">
      <c r="A26" s="2" t="s">
        <v>36</v>
      </c>
      <c r="B26" s="3"/>
    </row>
    <row r="27" customFormat="false" ht="30" hidden="false" customHeight="true" outlineLevel="0" collapsed="false">
      <c r="A27" s="2" t="s">
        <v>37</v>
      </c>
      <c r="B27" s="3" t="s">
        <v>38</v>
      </c>
    </row>
    <row r="28" customFormat="false" ht="30" hidden="false" customHeight="true" outlineLevel="0" collapsed="false">
      <c r="A28" s="2" t="s">
        <v>39</v>
      </c>
      <c r="B28" s="3" t="s">
        <v>40</v>
      </c>
    </row>
    <row r="29" customFormat="false" ht="15" hidden="false" customHeight="false" outlineLevel="0" collapsed="false">
      <c r="A29" s="2" t="s">
        <v>41</v>
      </c>
      <c r="B29" s="3" t="s">
        <v>42</v>
      </c>
    </row>
    <row r="30" customFormat="false" ht="15" hidden="false" customHeight="false" outlineLevel="0" collapsed="false">
      <c r="A30" s="2" t="s">
        <v>43</v>
      </c>
      <c r="B30" s="3" t="s">
        <v>44</v>
      </c>
    </row>
    <row r="31" customFormat="false" ht="15" hidden="false" customHeight="false" outlineLevel="0" collapsed="false">
      <c r="A31" s="2" t="s">
        <v>45</v>
      </c>
      <c r="B31" s="3" t="s">
        <v>46</v>
      </c>
    </row>
    <row r="32" customFormat="false" ht="15" hidden="false" customHeight="false" outlineLevel="0" collapsed="false">
      <c r="A32" s="4"/>
      <c r="B32" s="3"/>
    </row>
    <row r="33" customFormat="false" ht="15" hidden="false" customHeight="false" outlineLevel="0" collapsed="false">
      <c r="A33" s="2" t="s">
        <v>47</v>
      </c>
      <c r="B33" s="3"/>
    </row>
    <row r="34" customFormat="false" ht="30" hidden="false" customHeight="true" outlineLevel="0" collapsed="false">
      <c r="A34" s="2" t="s">
        <v>48</v>
      </c>
      <c r="B34" s="3" t="s">
        <v>49</v>
      </c>
    </row>
    <row r="35" customFormat="false" ht="30" hidden="false" customHeight="true" outlineLevel="0" collapsed="false">
      <c r="A35" s="2" t="s">
        <v>50</v>
      </c>
      <c r="B35" s="3" t="s">
        <v>51</v>
      </c>
    </row>
    <row r="36" customFormat="false" ht="15" hidden="false" customHeight="false" outlineLevel="0" collapsed="false">
      <c r="A36" s="2" t="s">
        <v>52</v>
      </c>
      <c r="B36" s="3"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
    <col collapsed="false" customWidth="true" hidden="false" outlineLevel="0" max="3" min="3" style="0" width="9"/>
    <col collapsed="false" customWidth="true" hidden="false" outlineLevel="0" max="4" min="4" style="0" width="10"/>
    <col collapsed="false" customWidth="true" hidden="false" outlineLevel="0" max="5" min="5" style="0" width="11"/>
    <col collapsed="false" customWidth="true" hidden="false" outlineLevel="0" max="8" min="6" style="0" width="10"/>
    <col collapsed="false" customWidth="true" hidden="false" outlineLevel="0" max="9" min="9" style="0" width="11"/>
    <col collapsed="false" customWidth="true" hidden="false" outlineLevel="0" max="10" min="10" style="0" width="13"/>
  </cols>
  <sheetData>
    <row r="1" customFormat="false" ht="17.35" hidden="false" customHeight="false" outlineLevel="0" collapsed="false">
      <c r="A1" s="1" t="s">
        <v>54</v>
      </c>
    </row>
    <row r="3" customFormat="false" ht="15" hidden="false" customHeight="false" outlineLevel="0" collapsed="false">
      <c r="A3" s="5" t="s">
        <v>55</v>
      </c>
      <c r="B3" s="5" t="s">
        <v>56</v>
      </c>
      <c r="C3" s="5" t="s">
        <v>57</v>
      </c>
      <c r="D3" s="5" t="s">
        <v>58</v>
      </c>
      <c r="E3" s="5" t="s">
        <v>59</v>
      </c>
      <c r="F3" s="5" t="s">
        <v>60</v>
      </c>
      <c r="G3" s="5" t="s">
        <v>61</v>
      </c>
      <c r="H3" s="5" t="s">
        <v>62</v>
      </c>
      <c r="I3" s="5" t="s">
        <v>63</v>
      </c>
      <c r="J3" s="5" t="s">
        <v>64</v>
      </c>
    </row>
    <row r="4" customFormat="false" ht="15" hidden="false" customHeight="false" outlineLevel="0" collapsed="false">
      <c r="A4" s="2" t="s">
        <v>65</v>
      </c>
      <c r="B4" s="6" t="n">
        <f aca="false">IFERROR(ROUND(100*I4/J4,1),"n/a")</f>
        <v>0</v>
      </c>
      <c r="C4" s="4" t="n">
        <v>10</v>
      </c>
      <c r="D4" s="4" t="n">
        <f aca="false">COUNTIF('Tenant &amp; admin enablement'!$N$3:$N$11,"pass")</f>
        <v>0</v>
      </c>
      <c r="E4" s="4" t="n">
        <f aca="false">COUNTIF('Tenant &amp; admin enablement'!$N$3:$N$11,"partial")</f>
        <v>0</v>
      </c>
      <c r="F4" s="4" t="n">
        <f aca="false">COUNTIF('Tenant &amp; admin enablement'!$N$3:$N$11,"fail")</f>
        <v>0</v>
      </c>
      <c r="G4" s="4" t="n">
        <f aca="false">COUNTIF('Tenant &amp; admin enablement'!$N$3:$N$11,"na")</f>
        <v>0</v>
      </c>
      <c r="H4" s="4" t="n">
        <f aca="false">COUNTIF('Tenant &amp; admin enablement'!$N$3:$N$11,"unknown")</f>
        <v>9</v>
      </c>
      <c r="I4" s="4" t="n">
        <f aca="false">SUMIF('Tenant &amp; admin enablement'!$N$3:$N$11,"pass",'Tenant &amp; admin enablement'!$T$3:$T$11)+0.5*SUMIF('Tenant &amp; admin enablement'!$N$3:$N$11,"partial",'Tenant &amp; admin enablement'!$T$3:$T$11)</f>
        <v>0</v>
      </c>
      <c r="J4" s="4" t="n">
        <f aca="false">SUM('Tenant &amp; admin enablement'!$T$3:$T$11)-SUMIF('Tenant &amp; admin enablement'!$N$3:$N$11,"na",'Tenant &amp; admin enablement'!$T$3:$T$11)</f>
        <v>63</v>
      </c>
    </row>
    <row r="5" customFormat="false" ht="15" hidden="false" customHeight="false" outlineLevel="0" collapsed="false">
      <c r="A5" s="2" t="s">
        <v>66</v>
      </c>
      <c r="B5" s="6" t="n">
        <f aca="false">IFERROR(ROUND(100*I5/J5,1),"n/a")</f>
        <v>0</v>
      </c>
      <c r="C5" s="4" t="n">
        <v>10</v>
      </c>
      <c r="D5" s="4" t="n">
        <f aca="false">COUNTIF('Capacity, SKU, region &amp; cost'!$N$3:$N$8,"pass")</f>
        <v>0</v>
      </c>
      <c r="E5" s="4" t="n">
        <f aca="false">COUNTIF('Capacity, SKU, region &amp; cost'!$N$3:$N$8,"partial")</f>
        <v>0</v>
      </c>
      <c r="F5" s="4" t="n">
        <f aca="false">COUNTIF('Capacity, SKU, region &amp; cost'!$N$3:$N$8,"fail")</f>
        <v>0</v>
      </c>
      <c r="G5" s="4" t="n">
        <f aca="false">COUNTIF('Capacity, SKU, region &amp; cost'!$N$3:$N$8,"na")</f>
        <v>0</v>
      </c>
      <c r="H5" s="4" t="n">
        <f aca="false">COUNTIF('Capacity, SKU, region &amp; cost'!$N$3:$N$8,"unknown")</f>
        <v>6</v>
      </c>
      <c r="I5" s="4" t="n">
        <f aca="false">SUMIF('Capacity, SKU, region &amp; cost'!$N$3:$N$8,"pass",'Capacity, SKU, region &amp; cost'!$T$3:$T$8)+0.5*SUMIF('Capacity, SKU, region &amp; cost'!$N$3:$N$8,"partial",'Capacity, SKU, region &amp; cost'!$T$3:$T$8)</f>
        <v>0</v>
      </c>
      <c r="J5" s="4" t="n">
        <f aca="false">SUM('Capacity, SKU, region &amp; cost'!$T$3:$T$8)-SUMIF('Capacity, SKU, region &amp; cost'!$N$3:$N$8,"na",'Capacity, SKU, region &amp; cost'!$T$3:$T$8)</f>
        <v>50</v>
      </c>
    </row>
    <row r="6" customFormat="false" ht="15" hidden="false" customHeight="false" outlineLevel="0" collapsed="false">
      <c r="A6" s="2" t="s">
        <v>67</v>
      </c>
      <c r="B6" s="6" t="n">
        <f aca="false">IFERROR(ROUND(100*I6/J6,1),"n/a")</f>
        <v>0</v>
      </c>
      <c r="C6" s="4" t="n">
        <v>6</v>
      </c>
      <c r="D6" s="4" t="n">
        <f aca="false">COUNTIF('Workspace &amp; item governance'!$N$3:$N$9,"pass")</f>
        <v>0</v>
      </c>
      <c r="E6" s="4" t="n">
        <f aca="false">COUNTIF('Workspace &amp; item governance'!$N$3:$N$9,"partial")</f>
        <v>0</v>
      </c>
      <c r="F6" s="4" t="n">
        <f aca="false">COUNTIF('Workspace &amp; item governance'!$N$3:$N$9,"fail")</f>
        <v>0</v>
      </c>
      <c r="G6" s="4" t="n">
        <f aca="false">COUNTIF('Workspace &amp; item governance'!$N$3:$N$9,"na")</f>
        <v>0</v>
      </c>
      <c r="H6" s="4" t="n">
        <f aca="false">COUNTIF('Workspace &amp; item governance'!$N$3:$N$9,"unknown")</f>
        <v>7</v>
      </c>
      <c r="I6" s="4" t="n">
        <f aca="false">SUMIF('Workspace &amp; item governance'!$N$3:$N$9,"pass",'Workspace &amp; item governance'!$T$3:$T$9)+0.5*SUMIF('Workspace &amp; item governance'!$N$3:$N$9,"partial",'Workspace &amp; item governance'!$T$3:$T$9)</f>
        <v>0</v>
      </c>
      <c r="J6" s="4" t="n">
        <f aca="false">SUM('Workspace &amp; item governance'!$T$3:$T$9)-SUMIF('Workspace &amp; item governance'!$N$3:$N$9,"na",'Workspace &amp; item governance'!$T$3:$T$9)</f>
        <v>35</v>
      </c>
    </row>
    <row r="7" customFormat="false" ht="15" hidden="false" customHeight="false" outlineLevel="0" collapsed="false">
      <c r="A7" s="2" t="s">
        <v>68</v>
      </c>
      <c r="B7" s="6" t="n">
        <f aca="false">IFERROR(ROUND(100*I7/J7,1),"n/a")</f>
        <v>0</v>
      </c>
      <c r="C7" s="4" t="n">
        <v>14</v>
      </c>
      <c r="D7" s="4" t="n">
        <f aca="false">COUNTIF('AI data schema &amp; scope reductio'!$N$3:$N$23,"pass")</f>
        <v>0</v>
      </c>
      <c r="E7" s="4" t="n">
        <f aca="false">COUNTIF('AI data schema &amp; scope reductio'!$N$3:$N$23,"partial")</f>
        <v>0</v>
      </c>
      <c r="F7" s="4" t="n">
        <f aca="false">COUNTIF('AI data schema &amp; scope reductio'!$N$3:$N$23,"fail")</f>
        <v>0</v>
      </c>
      <c r="G7" s="4" t="n">
        <f aca="false">COUNTIF('AI data schema &amp; scope reductio'!$N$3:$N$23,"na")</f>
        <v>0</v>
      </c>
      <c r="H7" s="4" t="n">
        <f aca="false">COUNTIF('AI data schema &amp; scope reductio'!$N$3:$N$23,"unknown")</f>
        <v>21</v>
      </c>
      <c r="I7" s="4" t="n">
        <f aca="false">SUMIF('AI data schema &amp; scope reductio'!$N$3:$N$23,"pass",'AI data schema &amp; scope reductio'!$T$3:$T$23)+0.5*SUMIF('AI data schema &amp; scope reductio'!$N$3:$N$23,"partial",'AI data schema &amp; scope reductio'!$T$3:$T$23)</f>
        <v>0</v>
      </c>
      <c r="J7" s="4" t="n">
        <f aca="false">SUM('AI data schema &amp; scope reductio'!$T$3:$T$23)-SUMIF('AI data schema &amp; scope reductio'!$N$3:$N$23,"na",'AI data schema &amp; scope reductio'!$T$3:$T$23)</f>
        <v>127</v>
      </c>
    </row>
    <row r="8" customFormat="false" ht="15" hidden="false" customHeight="false" outlineLevel="0" collapsed="false">
      <c r="A8" s="2" t="s">
        <v>69</v>
      </c>
      <c r="B8" s="6" t="n">
        <f aca="false">IFERROR(ROUND(100*I8/J8,1),"n/a")</f>
        <v>0</v>
      </c>
      <c r="C8" s="4" t="n">
        <v>12</v>
      </c>
      <c r="D8" s="4" t="n">
        <f aca="false">COUNTIF('Semantic model structure'!$N$3:$N$12,"pass")</f>
        <v>0</v>
      </c>
      <c r="E8" s="4" t="n">
        <f aca="false">COUNTIF('Semantic model structure'!$N$3:$N$12,"partial")</f>
        <v>0</v>
      </c>
      <c r="F8" s="4" t="n">
        <f aca="false">COUNTIF('Semantic model structure'!$N$3:$N$12,"fail")</f>
        <v>0</v>
      </c>
      <c r="G8" s="4" t="n">
        <f aca="false">COUNTIF('Semantic model structure'!$N$3:$N$12,"na")</f>
        <v>0</v>
      </c>
      <c r="H8" s="4" t="n">
        <f aca="false">COUNTIF('Semantic model structure'!$N$3:$N$12,"unknown")</f>
        <v>10</v>
      </c>
      <c r="I8" s="4" t="n">
        <f aca="false">SUMIF('Semantic model structure'!$N$3:$N$12,"pass",'Semantic model structure'!$T$3:$T$12)+0.5*SUMIF('Semantic model structure'!$N$3:$N$12,"partial",'Semantic model structure'!$T$3:$T$12)</f>
        <v>0</v>
      </c>
      <c r="J8" s="4" t="n">
        <f aca="false">SUM('Semantic model structure'!$T$3:$T$12)-SUMIF('Semantic model structure'!$N$3:$N$12,"na",'Semantic model structure'!$T$3:$T$12)</f>
        <v>55</v>
      </c>
    </row>
    <row r="9" customFormat="false" ht="15" hidden="false" customHeight="false" outlineLevel="0" collapsed="false">
      <c r="A9" s="2" t="s">
        <v>70</v>
      </c>
      <c r="B9" s="6" t="n">
        <f aca="false">IFERROR(ROUND(100*I9/J9,1),"n/a")</f>
        <v>0</v>
      </c>
      <c r="C9" s="4" t="n">
        <v>11</v>
      </c>
      <c r="D9" s="4" t="n">
        <f aca="false">COUNTIF('Names, descriptions &amp; linguisti'!$N$3:$N$12,"pass")</f>
        <v>0</v>
      </c>
      <c r="E9" s="4" t="n">
        <f aca="false">COUNTIF('Names, descriptions &amp; linguisti'!$N$3:$N$12,"partial")</f>
        <v>0</v>
      </c>
      <c r="F9" s="4" t="n">
        <f aca="false">COUNTIF('Names, descriptions &amp; linguisti'!$N$3:$N$12,"fail")</f>
        <v>0</v>
      </c>
      <c r="G9" s="4" t="n">
        <f aca="false">COUNTIF('Names, descriptions &amp; linguisti'!$N$3:$N$12,"na")</f>
        <v>0</v>
      </c>
      <c r="H9" s="4" t="n">
        <f aca="false">COUNTIF('Names, descriptions &amp; linguisti'!$N$3:$N$12,"unknown")</f>
        <v>10</v>
      </c>
      <c r="I9" s="4" t="n">
        <f aca="false">SUMIF('Names, descriptions &amp; linguisti'!$N$3:$N$12,"pass",'Names, descriptions &amp; linguisti'!$T$3:$T$12)+0.5*SUMIF('Names, descriptions &amp; linguisti'!$N$3:$N$12,"partial",'Names, descriptions &amp; linguisti'!$T$3:$T$12)</f>
        <v>0</v>
      </c>
      <c r="J9" s="4" t="n">
        <f aca="false">SUM('Names, descriptions &amp; linguisti'!$T$3:$T$12)-SUMIF('Names, descriptions &amp; linguisti'!$N$3:$N$12,"na",'Names, descriptions &amp; linguisti'!$T$3:$T$12)</f>
        <v>56</v>
      </c>
    </row>
    <row r="10" customFormat="false" ht="15" hidden="false" customHeight="false" outlineLevel="0" collapsed="false">
      <c r="A10" s="2" t="s">
        <v>71</v>
      </c>
      <c r="B10" s="6" t="n">
        <f aca="false">IFERROR(ROUND(100*I10/J10,1),"n/a")</f>
        <v>0</v>
      </c>
      <c r="C10" s="4" t="n">
        <v>9</v>
      </c>
      <c r="D10" s="4" t="n">
        <f aca="false">COUNTIF('Measures &amp; DAX'!$N$3:$N$14,"pass")</f>
        <v>0</v>
      </c>
      <c r="E10" s="4" t="n">
        <f aca="false">COUNTIF('Measures &amp; DAX'!$N$3:$N$14,"partial")</f>
        <v>0</v>
      </c>
      <c r="F10" s="4" t="n">
        <f aca="false">COUNTIF('Measures &amp; DAX'!$N$3:$N$14,"fail")</f>
        <v>0</v>
      </c>
      <c r="G10" s="4" t="n">
        <f aca="false">COUNTIF('Measures &amp; DAX'!$N$3:$N$14,"na")</f>
        <v>0</v>
      </c>
      <c r="H10" s="4" t="n">
        <f aca="false">COUNTIF('Measures &amp; DAX'!$N$3:$N$14,"unknown")</f>
        <v>12</v>
      </c>
      <c r="I10" s="4" t="n">
        <f aca="false">SUMIF('Measures &amp; DAX'!$N$3:$N$14,"pass",'Measures &amp; DAX'!$T$3:$T$14)+0.5*SUMIF('Measures &amp; DAX'!$N$3:$N$14,"partial",'Measures &amp; DAX'!$T$3:$T$14)</f>
        <v>0</v>
      </c>
      <c r="J10" s="4" t="n">
        <f aca="false">SUM('Measures &amp; DAX'!$T$3:$T$14)-SUMIF('Measures &amp; DAX'!$N$3:$N$14,"na",'Measures &amp; DAX'!$T$3:$T$14)</f>
        <v>59</v>
      </c>
    </row>
    <row r="11" customFormat="false" ht="15" hidden="false" customHeight="false" outlineLevel="0" collapsed="false">
      <c r="A11" s="2" t="s">
        <v>72</v>
      </c>
      <c r="B11" s="6" t="n">
        <f aca="false">IFERROR(ROUND(100*I11/J11,1),"n/a")</f>
        <v>0</v>
      </c>
      <c r="C11" s="4" t="n">
        <v>5</v>
      </c>
      <c r="D11" s="4" t="n">
        <f aca="false">COUNTIF('Data types &amp; data quality'!$N$3:$N$7,"pass")</f>
        <v>0</v>
      </c>
      <c r="E11" s="4" t="n">
        <f aca="false">COUNTIF('Data types &amp; data quality'!$N$3:$N$7,"partial")</f>
        <v>0</v>
      </c>
      <c r="F11" s="4" t="n">
        <f aca="false">COUNTIF('Data types &amp; data quality'!$N$3:$N$7,"fail")</f>
        <v>0</v>
      </c>
      <c r="G11" s="4" t="n">
        <f aca="false">COUNTIF('Data types &amp; data quality'!$N$3:$N$7,"na")</f>
        <v>0</v>
      </c>
      <c r="H11" s="4" t="n">
        <f aca="false">COUNTIF('Data types &amp; data quality'!$N$3:$N$7,"unknown")</f>
        <v>5</v>
      </c>
      <c r="I11" s="4" t="n">
        <f aca="false">SUMIF('Data types &amp; data quality'!$N$3:$N$7,"pass",'Data types &amp; data quality'!$T$3:$T$7)+0.5*SUMIF('Data types &amp; data quality'!$N$3:$N$7,"partial",'Data types &amp; data quality'!$T$3:$T$7)</f>
        <v>0</v>
      </c>
      <c r="J11" s="4" t="n">
        <f aca="false">SUM('Data types &amp; data quality'!$T$3:$T$7)-SUMIF('Data types &amp; data quality'!$N$3:$N$7,"na",'Data types &amp; data quality'!$T$3:$T$7)</f>
        <v>22</v>
      </c>
    </row>
    <row r="12" customFormat="false" ht="15" hidden="false" customHeight="false" outlineLevel="0" collapsed="false">
      <c r="A12" s="2" t="s">
        <v>73</v>
      </c>
      <c r="B12" s="6" t="n">
        <f aca="false">IFERROR(ROUND(100*I12/J12,1),"n/a")</f>
        <v>0</v>
      </c>
      <c r="C12" s="4" t="n">
        <v>8</v>
      </c>
      <c r="D12" s="4" t="n">
        <f aca="false">COUNTIF('Security, RLS &amp; compliance'!$N$3:$N$10,"pass")</f>
        <v>0</v>
      </c>
      <c r="E12" s="4" t="n">
        <f aca="false">COUNTIF('Security, RLS &amp; compliance'!$N$3:$N$10,"partial")</f>
        <v>0</v>
      </c>
      <c r="F12" s="4" t="n">
        <f aca="false">COUNTIF('Security, RLS &amp; compliance'!$N$3:$N$10,"fail")</f>
        <v>0</v>
      </c>
      <c r="G12" s="4" t="n">
        <f aca="false">COUNTIF('Security, RLS &amp; compliance'!$N$3:$N$10,"na")</f>
        <v>0</v>
      </c>
      <c r="H12" s="4" t="n">
        <f aca="false">COUNTIF('Security, RLS &amp; compliance'!$N$3:$N$10,"unknown")</f>
        <v>8</v>
      </c>
      <c r="I12" s="4" t="n">
        <f aca="false">SUMIF('Security, RLS &amp; compliance'!$N$3:$N$10,"pass",'Security, RLS &amp; compliance'!$T$3:$T$10)+0.5*SUMIF('Security, RLS &amp; compliance'!$N$3:$N$10,"partial",'Security, RLS &amp; compliance'!$T$3:$T$10)</f>
        <v>0</v>
      </c>
      <c r="J12" s="4" t="n">
        <f aca="false">SUM('Security, RLS &amp; compliance'!$T$3:$T$10)-SUMIF('Security, RLS &amp; compliance'!$N$3:$N$10,"na",'Security, RLS &amp; compliance'!$T$3:$T$10)</f>
        <v>51</v>
      </c>
    </row>
    <row r="13" customFormat="false" ht="15" hidden="false" customHeight="false" outlineLevel="0" collapsed="false">
      <c r="A13" s="2" t="s">
        <v>74</v>
      </c>
      <c r="B13" s="6" t="n">
        <f aca="false">IFERROR(ROUND(100*I13/J13,1),"n/a")</f>
        <v>0</v>
      </c>
      <c r="C13" s="4" t="n">
        <v>6</v>
      </c>
      <c r="D13" s="4" t="n">
        <f aca="false">COUNTIF('Verified answers'!$N$3:$N$9,"pass")</f>
        <v>0</v>
      </c>
      <c r="E13" s="4" t="n">
        <f aca="false">COUNTIF('Verified answers'!$N$3:$N$9,"partial")</f>
        <v>0</v>
      </c>
      <c r="F13" s="4" t="n">
        <f aca="false">COUNTIF('Verified answers'!$N$3:$N$9,"fail")</f>
        <v>0</v>
      </c>
      <c r="G13" s="4" t="n">
        <f aca="false">COUNTIF('Verified answers'!$N$3:$N$9,"na")</f>
        <v>0</v>
      </c>
      <c r="H13" s="4" t="n">
        <f aca="false">COUNTIF('Verified answers'!$N$3:$N$9,"unknown")</f>
        <v>7</v>
      </c>
      <c r="I13" s="4" t="n">
        <f aca="false">SUMIF('Verified answers'!$N$3:$N$9,"pass",'Verified answers'!$T$3:$T$9)+0.5*SUMIF('Verified answers'!$N$3:$N$9,"partial",'Verified answers'!$T$3:$T$9)</f>
        <v>0</v>
      </c>
      <c r="J13" s="4" t="n">
        <f aca="false">SUM('Verified answers'!$T$3:$T$9)-SUMIF('Verified answers'!$N$3:$N$9,"na",'Verified answers'!$T$3:$T$9)</f>
        <v>37</v>
      </c>
    </row>
    <row r="14" customFormat="false" ht="15" hidden="false" customHeight="false" outlineLevel="0" collapsed="false">
      <c r="A14" s="2" t="s">
        <v>75</v>
      </c>
      <c r="B14" s="6" t="n">
        <f aca="false">IFERROR(ROUND(100*I14/J14,1),"n/a")</f>
        <v>0</v>
      </c>
      <c r="C14" s="4" t="n">
        <v>6</v>
      </c>
      <c r="D14" s="4" t="n">
        <f aca="false">COUNTIF('AI instructions'!$N$3:$N$7,"pass")</f>
        <v>0</v>
      </c>
      <c r="E14" s="4" t="n">
        <f aca="false">COUNTIF('AI instructions'!$N$3:$N$7,"partial")</f>
        <v>0</v>
      </c>
      <c r="F14" s="4" t="n">
        <f aca="false">COUNTIF('AI instructions'!$N$3:$N$7,"fail")</f>
        <v>0</v>
      </c>
      <c r="G14" s="4" t="n">
        <f aca="false">COUNTIF('AI instructions'!$N$3:$N$7,"na")</f>
        <v>0</v>
      </c>
      <c r="H14" s="4" t="n">
        <f aca="false">COUNTIF('AI instructions'!$N$3:$N$7,"unknown")</f>
        <v>5</v>
      </c>
      <c r="I14" s="4" t="n">
        <f aca="false">SUMIF('AI instructions'!$N$3:$N$7,"pass",'AI instructions'!$T$3:$T$7)+0.5*SUMIF('AI instructions'!$N$3:$N$7,"partial",'AI instructions'!$T$3:$T$7)</f>
        <v>0</v>
      </c>
      <c r="J14" s="4" t="n">
        <f aca="false">SUM('AI instructions'!$T$3:$T$7)-SUMIF('AI instructions'!$N$3:$N$7,"na",'AI instructions'!$T$3:$T$7)</f>
        <v>29</v>
      </c>
    </row>
    <row r="15" customFormat="false" ht="15" hidden="false" customHeight="false" outlineLevel="0" collapsed="false">
      <c r="A15" s="2" t="s">
        <v>76</v>
      </c>
      <c r="B15" s="6" t="n">
        <f aca="false">IFERROR(ROUND(100*I15/J15,1),"n/a")</f>
        <v>0</v>
      </c>
      <c r="C15" s="4" t="n">
        <v>10</v>
      </c>
      <c r="D15" s="4" t="n">
        <f aca="false">COUNTIF('Fabric data agent configuration'!$N$3:$N$12,"pass")</f>
        <v>0</v>
      </c>
      <c r="E15" s="4" t="n">
        <f aca="false">COUNTIF('Fabric data agent configuration'!$N$3:$N$12,"partial")</f>
        <v>0</v>
      </c>
      <c r="F15" s="4" t="n">
        <f aca="false">COUNTIF('Fabric data agent configuration'!$N$3:$N$12,"fail")</f>
        <v>0</v>
      </c>
      <c r="G15" s="4" t="n">
        <f aca="false">COUNTIF('Fabric data agent configuration'!$N$3:$N$12,"na")</f>
        <v>0</v>
      </c>
      <c r="H15" s="4" t="n">
        <f aca="false">COUNTIF('Fabric data agent configuration'!$N$3:$N$12,"unknown")</f>
        <v>10</v>
      </c>
      <c r="I15" s="4" t="n">
        <f aca="false">SUMIF('Fabric data agent configuration'!$N$3:$N$12,"pass",'Fabric data agent configuration'!$T$3:$T$12)+0.5*SUMIF('Fabric data agent configuration'!$N$3:$N$12,"partial",'Fabric data agent configuration'!$T$3:$T$12)</f>
        <v>0</v>
      </c>
      <c r="J15" s="4" t="n">
        <f aca="false">SUM('Fabric data agent configuration'!$T$3:$T$12)-SUMIF('Fabric data agent configuration'!$N$3:$N$12,"na",'Fabric data agent configuration'!$T$3:$T$12)</f>
        <v>43</v>
      </c>
    </row>
    <row r="16" customFormat="false" ht="15" hidden="false" customHeight="false" outlineLevel="0" collapsed="false">
      <c r="A16" s="2" t="s">
        <v>77</v>
      </c>
      <c r="B16" s="6" t="n">
        <f aca="false">IFERROR(ROUND(100*I16/J16,1),"n/a")</f>
        <v>0</v>
      </c>
      <c r="C16" s="4" t="n">
        <v>9</v>
      </c>
      <c r="D16" s="4" t="n">
        <f aca="false">COUNTIF('Performance &amp; query efficiency'!$N$3:$N$10,"pass")</f>
        <v>0</v>
      </c>
      <c r="E16" s="4" t="n">
        <f aca="false">COUNTIF('Performance &amp; query efficiency'!$N$3:$N$10,"partial")</f>
        <v>0</v>
      </c>
      <c r="F16" s="4" t="n">
        <f aca="false">COUNTIF('Performance &amp; query efficiency'!$N$3:$N$10,"fail")</f>
        <v>0</v>
      </c>
      <c r="G16" s="4" t="n">
        <f aca="false">COUNTIF('Performance &amp; query efficiency'!$N$3:$N$10,"na")</f>
        <v>0</v>
      </c>
      <c r="H16" s="4" t="n">
        <f aca="false">COUNTIF('Performance &amp; query efficiency'!$N$3:$N$10,"unknown")</f>
        <v>8</v>
      </c>
      <c r="I16" s="4" t="n">
        <f aca="false">SUMIF('Performance &amp; query efficiency'!$N$3:$N$10,"pass",'Performance &amp; query efficiency'!$T$3:$T$10)+0.5*SUMIF('Performance &amp; query efficiency'!$N$3:$N$10,"partial",'Performance &amp; query efficiency'!$T$3:$T$10)</f>
        <v>0</v>
      </c>
      <c r="J16" s="4" t="n">
        <f aca="false">SUM('Performance &amp; query efficiency'!$T$3:$T$10)-SUMIF('Performance &amp; query efficiency'!$N$3:$N$10,"na",'Performance &amp; query efficiency'!$T$3:$T$10)</f>
        <v>55</v>
      </c>
    </row>
    <row r="17" customFormat="false" ht="15" hidden="false" customHeight="false" outlineLevel="0" collapsed="false">
      <c r="A17" s="2" t="s">
        <v>78</v>
      </c>
      <c r="B17" s="6" t="n">
        <f aca="false">IFERROR(ROUND(100*I17/J17,1),"n/a")</f>
        <v>0</v>
      </c>
      <c r="C17" s="4" t="n">
        <v>10</v>
      </c>
      <c r="D17" s="4" t="n">
        <f aca="false">COUNTIF('Response validity &amp; relevance'!$N$3:$N$15,"pass")</f>
        <v>0</v>
      </c>
      <c r="E17" s="4" t="n">
        <f aca="false">COUNTIF('Response validity &amp; relevance'!$N$3:$N$15,"partial")</f>
        <v>0</v>
      </c>
      <c r="F17" s="4" t="n">
        <f aca="false">COUNTIF('Response validity &amp; relevance'!$N$3:$N$15,"fail")</f>
        <v>0</v>
      </c>
      <c r="G17" s="4" t="n">
        <f aca="false">COUNTIF('Response validity &amp; relevance'!$N$3:$N$15,"na")</f>
        <v>0</v>
      </c>
      <c r="H17" s="4" t="n">
        <f aca="false">COUNTIF('Response validity &amp; relevance'!$N$3:$N$15,"unknown")</f>
        <v>13</v>
      </c>
      <c r="I17" s="4" t="n">
        <f aca="false">SUMIF('Response validity &amp; relevance'!$N$3:$N$15,"pass",'Response validity &amp; relevance'!$T$3:$T$15)+0.5*SUMIF('Response validity &amp; relevance'!$N$3:$N$15,"partial",'Response validity &amp; relevance'!$T$3:$T$15)</f>
        <v>0</v>
      </c>
      <c r="J17" s="4" t="n">
        <f aca="false">SUM('Response validity &amp; relevance'!$T$3:$T$15)-SUMIF('Response validity &amp; relevance'!$N$3:$N$15,"na",'Response validity &amp; relevance'!$T$3:$T$15)</f>
        <v>120</v>
      </c>
    </row>
    <row r="18" customFormat="false" ht="15" hidden="false" customHeight="false" outlineLevel="0" collapsed="false">
      <c r="A18" s="2" t="s">
        <v>79</v>
      </c>
      <c r="B18" s="6" t="n">
        <f aca="false">IFERROR(ROUND(100*I18/J18,1),"n/a")</f>
        <v>0</v>
      </c>
      <c r="C18" s="4" t="n">
        <v>6</v>
      </c>
      <c r="D18" s="4" t="n">
        <f aca="false">COUNTIF('Operations, ALM &amp; adoption'!$N$3:$N$9,"pass")</f>
        <v>0</v>
      </c>
      <c r="E18" s="4" t="n">
        <f aca="false">COUNTIF('Operations, ALM &amp; adoption'!$N$3:$N$9,"partial")</f>
        <v>0</v>
      </c>
      <c r="F18" s="4" t="n">
        <f aca="false">COUNTIF('Operations, ALM &amp; adoption'!$N$3:$N$9,"fail")</f>
        <v>0</v>
      </c>
      <c r="G18" s="4" t="n">
        <f aca="false">COUNTIF('Operations, ALM &amp; adoption'!$N$3:$N$9,"na")</f>
        <v>0</v>
      </c>
      <c r="H18" s="4" t="n">
        <f aca="false">COUNTIF('Operations, ALM &amp; adoption'!$N$3:$N$9,"unknown")</f>
        <v>7</v>
      </c>
      <c r="I18" s="4" t="n">
        <f aca="false">SUMIF('Operations, ALM &amp; adoption'!$N$3:$N$9,"pass",'Operations, ALM &amp; adoption'!$T$3:$T$9)+0.5*SUMIF('Operations, ALM &amp; adoption'!$N$3:$N$9,"partial",'Operations, ALM &amp; adoption'!$T$3:$T$9)</f>
        <v>0</v>
      </c>
      <c r="J18" s="4" t="n">
        <f aca="false">SUM('Operations, ALM &amp; adoption'!$T$3:$T$9)-SUMIF('Operations, ALM &amp; adoption'!$N$3:$N$9,"na",'Operations, ALM &amp; adoption'!$T$3:$T$9)</f>
        <v>34</v>
      </c>
    </row>
    <row r="20" customFormat="false" ht="17.35" hidden="false" customHeight="false" outlineLevel="0" collapsed="false">
      <c r="A20" s="1" t="s">
        <v>80</v>
      </c>
      <c r="B20" s="7" t="n">
        <f aca="false">IFERROR(ROUND(SUMPRODUCT(B4:B18,C4:C18)/SUM(C4:C18),1),0)</f>
        <v>0</v>
      </c>
      <c r="D20" s="2" t="n">
        <f aca="false">SUM(D4:D18)</f>
        <v>0</v>
      </c>
      <c r="E20" s="2" t="n">
        <f aca="false">SUM(E4:E18)</f>
        <v>0</v>
      </c>
      <c r="F20" s="2" t="n">
        <f aca="false">SUM(F4:F18)</f>
        <v>0</v>
      </c>
      <c r="G20" s="2" t="n">
        <f aca="false">SUM(G4:G18)</f>
        <v>0</v>
      </c>
      <c r="H20" s="2" t="n">
        <f aca="false">SUM(H4:H18)</f>
        <v>138</v>
      </c>
      <c r="I20" s="2" t="n">
        <f aca="false">SUM(I4:I18)</f>
        <v>0</v>
      </c>
      <c r="J20" s="2" t="n">
        <f aca="false">SUM(J4:J18)</f>
        <v>836</v>
      </c>
    </row>
    <row r="21" customFormat="false" ht="15" hidden="false" customHeight="false" outlineLevel="0" collapsed="false">
      <c r="A21" s="2" t="s">
        <v>81</v>
      </c>
      <c r="B21" s="2" t="n">
        <f aca="false">IF(OR('Tenant &amp; admin enablement'!N3="fail",'Tenant &amp; admin enablement'!N3="unknown"),1,0)+IF(OR('Tenant &amp; admin enablement'!N4="fail",'Tenant &amp; admin enablement'!N4="unknown"),1,0)+IF(OR('Capacity, SKU, region &amp; cost'!N3="fail",'Capacity, SKU, region &amp; cost'!N3="unknown"),1,0)+IF(OR('Capacity, SKU, region &amp; cost'!N4="fail",'Capacity, SKU, region &amp; cost'!N4="unknown"),1,0)+IF(OR('AI data schema &amp; scope reductio'!N3="fail",'AI data schema &amp; scope reductio'!N3="unknown"),1,0)+IF(OR('Names, descriptions &amp; linguisti'!N8="fail",'Names, descriptions &amp; linguisti'!N8="unknown"),1,0)+IF(OR('Security, RLS &amp; compliance'!N3="fail",'Security, RLS &amp; compliance'!N3="unknown"),1,0)+IF(OR('Response validity &amp; relevance'!N3="fail",'Response validity &amp; relevance'!N3="unknown"),1,0)</f>
        <v>8</v>
      </c>
    </row>
    <row r="22" customFormat="false" ht="17.35" hidden="false" customHeight="false" outlineLevel="0" collapsed="false">
      <c r="A22" s="1" t="s">
        <v>82</v>
      </c>
      <c r="B22" s="1" t="str">
        <f aca="false">IF(B21&gt;0,"Not Ready (GATED)",IF(B20&lt;40,"Not Ready",IF(B20&lt;60,"Foundational",IF(B20&lt;75,"Operational",IF(B20&lt;90,"Optimized","AI-Ready")))))</f>
        <v>Not Ready (GATED)</v>
      </c>
    </row>
    <row r="24" customFormat="false" ht="15" hidden="false" customHeight="false" outlineLevel="0" collapsed="false">
      <c r="A24" s="2" t="s">
        <v>83</v>
      </c>
      <c r="B24" s="8" t="s">
        <v>84</v>
      </c>
      <c r="C24" s="8"/>
      <c r="D24" s="8"/>
      <c r="E24" s="8"/>
      <c r="F24" s="8"/>
      <c r="G24" s="8"/>
      <c r="H24" s="8"/>
      <c r="I24" s="8"/>
      <c r="J24" s="8"/>
    </row>
    <row r="25" customFormat="false" ht="15" hidden="false" customHeight="false" outlineLevel="0" collapsed="false">
      <c r="A25" s="2" t="s">
        <v>85</v>
      </c>
      <c r="B25" s="8" t="s">
        <v>86</v>
      </c>
      <c r="C25" s="8"/>
      <c r="D25" s="8"/>
      <c r="E25" s="8"/>
      <c r="F25" s="8"/>
      <c r="G25" s="8"/>
      <c r="H25" s="8"/>
      <c r="I25" s="8"/>
      <c r="J25" s="8"/>
    </row>
  </sheetData>
  <mergeCells count="2">
    <mergeCell ref="B24:J24"/>
    <mergeCell ref="B25:J25"/>
  </mergeCells>
  <conditionalFormatting sqref="B4">
    <cfRule type="cellIs" priority="2" operator="lessThan" aboveAverage="0" equalAverage="0" bottom="0" percent="0" rank="0" text="" dxfId="0">
      <formula>60</formula>
    </cfRule>
    <cfRule type="cellIs" priority="3" operator="greaterThanOrEqual" aboveAverage="0" equalAverage="0" bottom="0" percent="0" rank="0" text="" dxfId="1">
      <formula>75</formula>
    </cfRule>
  </conditionalFormatting>
  <conditionalFormatting sqref="B5">
    <cfRule type="cellIs" priority="4" operator="lessThan" aboveAverage="0" equalAverage="0" bottom="0" percent="0" rank="0" text="" dxfId="0">
      <formula>60</formula>
    </cfRule>
    <cfRule type="cellIs" priority="5" operator="greaterThanOrEqual" aboveAverage="0" equalAverage="0" bottom="0" percent="0" rank="0" text="" dxfId="1">
      <formula>75</formula>
    </cfRule>
  </conditionalFormatting>
  <conditionalFormatting sqref="B6">
    <cfRule type="cellIs" priority="6" operator="lessThan" aboveAverage="0" equalAverage="0" bottom="0" percent="0" rank="0" text="" dxfId="0">
      <formula>60</formula>
    </cfRule>
    <cfRule type="cellIs" priority="7" operator="greaterThanOrEqual" aboveAverage="0" equalAverage="0" bottom="0" percent="0" rank="0" text="" dxfId="1">
      <formula>75</formula>
    </cfRule>
  </conditionalFormatting>
  <conditionalFormatting sqref="B7">
    <cfRule type="cellIs" priority="8" operator="lessThan" aboveAverage="0" equalAverage="0" bottom="0" percent="0" rank="0" text="" dxfId="0">
      <formula>60</formula>
    </cfRule>
    <cfRule type="cellIs" priority="9" operator="greaterThanOrEqual" aboveAverage="0" equalAverage="0" bottom="0" percent="0" rank="0" text="" dxfId="1">
      <formula>75</formula>
    </cfRule>
  </conditionalFormatting>
  <conditionalFormatting sqref="B8">
    <cfRule type="cellIs" priority="10" operator="lessThan" aboveAverage="0" equalAverage="0" bottom="0" percent="0" rank="0" text="" dxfId="0">
      <formula>60</formula>
    </cfRule>
    <cfRule type="cellIs" priority="11" operator="greaterThanOrEqual" aboveAverage="0" equalAverage="0" bottom="0" percent="0" rank="0" text="" dxfId="1">
      <formula>75</formula>
    </cfRule>
  </conditionalFormatting>
  <conditionalFormatting sqref="B9">
    <cfRule type="cellIs" priority="12" operator="lessThan" aboveAverage="0" equalAverage="0" bottom="0" percent="0" rank="0" text="" dxfId="0">
      <formula>60</formula>
    </cfRule>
    <cfRule type="cellIs" priority="13" operator="greaterThanOrEqual" aboveAverage="0" equalAverage="0" bottom="0" percent="0" rank="0" text="" dxfId="1">
      <formula>75</formula>
    </cfRule>
  </conditionalFormatting>
  <conditionalFormatting sqref="B10">
    <cfRule type="cellIs" priority="14" operator="lessThan" aboveAverage="0" equalAverage="0" bottom="0" percent="0" rank="0" text="" dxfId="0">
      <formula>60</formula>
    </cfRule>
    <cfRule type="cellIs" priority="15" operator="greaterThanOrEqual" aboveAverage="0" equalAverage="0" bottom="0" percent="0" rank="0" text="" dxfId="1">
      <formula>75</formula>
    </cfRule>
  </conditionalFormatting>
  <conditionalFormatting sqref="B11">
    <cfRule type="cellIs" priority="16" operator="lessThan" aboveAverage="0" equalAverage="0" bottom="0" percent="0" rank="0" text="" dxfId="0">
      <formula>60</formula>
    </cfRule>
    <cfRule type="cellIs" priority="17" operator="greaterThanOrEqual" aboveAverage="0" equalAverage="0" bottom="0" percent="0" rank="0" text="" dxfId="1">
      <formula>75</formula>
    </cfRule>
  </conditionalFormatting>
  <conditionalFormatting sqref="B12">
    <cfRule type="cellIs" priority="18" operator="lessThan" aboveAverage="0" equalAverage="0" bottom="0" percent="0" rank="0" text="" dxfId="0">
      <formula>60</formula>
    </cfRule>
    <cfRule type="cellIs" priority="19" operator="greaterThanOrEqual" aboveAverage="0" equalAverage="0" bottom="0" percent="0" rank="0" text="" dxfId="1">
      <formula>75</formula>
    </cfRule>
  </conditionalFormatting>
  <conditionalFormatting sqref="B13">
    <cfRule type="cellIs" priority="20" operator="lessThan" aboveAverage="0" equalAverage="0" bottom="0" percent="0" rank="0" text="" dxfId="0">
      <formula>60</formula>
    </cfRule>
    <cfRule type="cellIs" priority="21" operator="greaterThanOrEqual" aboveAverage="0" equalAverage="0" bottom="0" percent="0" rank="0" text="" dxfId="1">
      <formula>75</formula>
    </cfRule>
  </conditionalFormatting>
  <conditionalFormatting sqref="B14">
    <cfRule type="cellIs" priority="22" operator="lessThan" aboveAverage="0" equalAverage="0" bottom="0" percent="0" rank="0" text="" dxfId="0">
      <formula>60</formula>
    </cfRule>
    <cfRule type="cellIs" priority="23" operator="greaterThanOrEqual" aboveAverage="0" equalAverage="0" bottom="0" percent="0" rank="0" text="" dxfId="1">
      <formula>75</formula>
    </cfRule>
  </conditionalFormatting>
  <conditionalFormatting sqref="B15">
    <cfRule type="cellIs" priority="24" operator="lessThan" aboveAverage="0" equalAverage="0" bottom="0" percent="0" rank="0" text="" dxfId="0">
      <formula>60</formula>
    </cfRule>
    <cfRule type="cellIs" priority="25" operator="greaterThanOrEqual" aboveAverage="0" equalAverage="0" bottom="0" percent="0" rank="0" text="" dxfId="1">
      <formula>75</formula>
    </cfRule>
  </conditionalFormatting>
  <conditionalFormatting sqref="B16">
    <cfRule type="cellIs" priority="26" operator="lessThan" aboveAverage="0" equalAverage="0" bottom="0" percent="0" rank="0" text="" dxfId="0">
      <formula>60</formula>
    </cfRule>
    <cfRule type="cellIs" priority="27" operator="greaterThanOrEqual" aboveAverage="0" equalAverage="0" bottom="0" percent="0" rank="0" text="" dxfId="1">
      <formula>75</formula>
    </cfRule>
  </conditionalFormatting>
  <conditionalFormatting sqref="B17">
    <cfRule type="cellIs" priority="28" operator="lessThan" aboveAverage="0" equalAverage="0" bottom="0" percent="0" rank="0" text="" dxfId="0">
      <formula>60</formula>
    </cfRule>
    <cfRule type="cellIs" priority="29" operator="greaterThanOrEqual" aboveAverage="0" equalAverage="0" bottom="0" percent="0" rank="0" text="" dxfId="1">
      <formula>75</formula>
    </cfRule>
  </conditionalFormatting>
  <conditionalFormatting sqref="B18">
    <cfRule type="cellIs" priority="30" operator="lessThan" aboveAverage="0" equalAverage="0" bottom="0" percent="0" rank="0" text="" dxfId="0">
      <formula>60</formula>
    </cfRule>
    <cfRule type="cellIs" priority="31" operator="greaterThanOrEqual" aboveAverage="0" equalAverage="0" bottom="0" percent="0" rank="0" text="" dxfId="1">
      <formula>75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6"/>
    <col collapsed="false" customWidth="true" hidden="false" outlineLevel="0" max="3" min="3" style="0" width="10"/>
    <col collapsed="false" customWidth="true" hidden="false" outlineLevel="0" max="4" min="4" style="0" width="13"/>
    <col collapsed="false" customWidth="true" hidden="false" outlineLevel="0" max="5" min="5" style="0" width="22"/>
    <col collapsed="false" customWidth="true" hidden="false" outlineLevel="0" max="7" min="6" style="0" width="62"/>
    <col collapsed="false" customWidth="true" hidden="false" outlineLevel="0" max="8" min="8" style="0" width="26"/>
    <col collapsed="false" customWidth="true" hidden="false" outlineLevel="0" max="9" min="9" style="0" width="52"/>
    <col collapsed="false" customWidth="true" hidden="false" outlineLevel="0" max="10" min="10" style="0" width="58"/>
    <col collapsed="false" customWidth="true" hidden="false" outlineLevel="0" max="11" min="11" style="0" width="50"/>
    <col collapsed="false" customWidth="true" hidden="false" outlineLevel="0" max="12" min="12" style="0" width="30"/>
    <col collapsed="false" customWidth="true" hidden="false" outlineLevel="0" max="14" min="13" style="0" width="11"/>
    <col collapsed="false" customWidth="true" hidden="false" outlineLevel="0" max="15" min="15" style="0" width="26"/>
    <col collapsed="false" customWidth="true" hidden="false" outlineLevel="0" max="16" min="16" style="0" width="16"/>
    <col collapsed="false" customWidth="true" hidden="false" outlineLevel="0" max="17" min="17" style="0" width="12"/>
    <col collapsed="false" customWidth="true" hidden="false" outlineLevel="0" max="18" min="18" style="0" width="30"/>
    <col collapsed="false" customWidth="true" hidden="true" outlineLevel="0" max="20" min="20" style="0" width="13"/>
  </cols>
  <sheetData>
    <row r="1" customFormat="false" ht="17.35" hidden="false" customHeight="false" outlineLevel="0" collapsed="false">
      <c r="A1" s="9" t="s">
        <v>87</v>
      </c>
      <c r="B1" s="9"/>
      <c r="C1" s="9"/>
      <c r="D1" s="9"/>
      <c r="E1" s="9"/>
      <c r="F1" s="9"/>
      <c r="G1" s="9"/>
      <c r="H1" s="9"/>
      <c r="J1" s="10" t="s">
        <v>88</v>
      </c>
    </row>
    <row r="2" customFormat="false" ht="30" hidden="false" customHeight="true" outlineLevel="0" collapsed="false">
      <c r="A2" s="11" t="s">
        <v>89</v>
      </c>
      <c r="B2" s="11" t="s">
        <v>90</v>
      </c>
      <c r="C2" s="11" t="s">
        <v>91</v>
      </c>
      <c r="D2" s="11" t="s">
        <v>92</v>
      </c>
      <c r="E2" s="11" t="s">
        <v>93</v>
      </c>
      <c r="F2" s="11" t="s">
        <v>94</v>
      </c>
      <c r="G2" s="11" t="s">
        <v>95</v>
      </c>
      <c r="H2" s="11" t="s">
        <v>96</v>
      </c>
      <c r="I2" s="11" t="s">
        <v>97</v>
      </c>
      <c r="J2" s="11" t="s">
        <v>98</v>
      </c>
      <c r="K2" s="11" t="s">
        <v>99</v>
      </c>
      <c r="L2" s="11" t="s">
        <v>100</v>
      </c>
      <c r="M2" s="11" t="s">
        <v>101</v>
      </c>
      <c r="N2" s="11" t="s">
        <v>102</v>
      </c>
      <c r="O2" s="11" t="s">
        <v>103</v>
      </c>
      <c r="P2" s="11" t="s">
        <v>104</v>
      </c>
      <c r="Q2" s="11" t="s">
        <v>105</v>
      </c>
      <c r="R2" s="11" t="s">
        <v>106</v>
      </c>
      <c r="T2" s="10" t="s">
        <v>107</v>
      </c>
    </row>
    <row r="3" customFormat="false" ht="61.5" hidden="false" customHeight="true" outlineLevel="0" collapsed="false">
      <c r="A3" s="12" t="s">
        <v>108</v>
      </c>
      <c r="B3" s="13" t="s">
        <v>109</v>
      </c>
      <c r="C3" s="14" t="s">
        <v>37</v>
      </c>
      <c r="D3" s="13" t="s">
        <v>110</v>
      </c>
      <c r="E3" s="13" t="s">
        <v>111</v>
      </c>
      <c r="F3" s="13" t="s">
        <v>112</v>
      </c>
      <c r="G3" s="13" t="s">
        <v>113</v>
      </c>
      <c r="H3" s="13"/>
      <c r="I3" s="13" t="s">
        <v>114</v>
      </c>
      <c r="J3" s="13" t="s">
        <v>115</v>
      </c>
      <c r="K3" s="13" t="s">
        <v>116</v>
      </c>
      <c r="L3" s="13" t="s">
        <v>117</v>
      </c>
      <c r="M3" s="13" t="s">
        <v>48</v>
      </c>
      <c r="N3" s="15" t="s">
        <v>34</v>
      </c>
      <c r="O3" s="15"/>
      <c r="P3" s="15"/>
      <c r="Q3" s="15"/>
      <c r="R3" s="15" t="s">
        <v>118</v>
      </c>
      <c r="T3" s="0" t="n">
        <v>13</v>
      </c>
    </row>
    <row r="4" customFormat="false" ht="61.5" hidden="false" customHeight="true" outlineLevel="0" collapsed="false">
      <c r="A4" s="12" t="s">
        <v>119</v>
      </c>
      <c r="B4" s="13" t="s">
        <v>120</v>
      </c>
      <c r="C4" s="14" t="s">
        <v>37</v>
      </c>
      <c r="D4" s="13" t="s">
        <v>110</v>
      </c>
      <c r="E4" s="13" t="s">
        <v>111</v>
      </c>
      <c r="F4" s="13" t="s">
        <v>121</v>
      </c>
      <c r="G4" s="13" t="s">
        <v>122</v>
      </c>
      <c r="H4" s="13"/>
      <c r="I4" s="13" t="s">
        <v>123</v>
      </c>
      <c r="J4" s="13" t="s">
        <v>124</v>
      </c>
      <c r="K4" s="13" t="s">
        <v>125</v>
      </c>
      <c r="L4" s="13" t="s">
        <v>126</v>
      </c>
      <c r="M4" s="13" t="s">
        <v>48</v>
      </c>
      <c r="N4" s="15" t="s">
        <v>34</v>
      </c>
      <c r="O4" s="15"/>
      <c r="P4" s="15"/>
      <c r="Q4" s="15"/>
      <c r="R4" s="15"/>
      <c r="T4" s="0" t="n">
        <v>13</v>
      </c>
    </row>
    <row r="5" customFormat="false" ht="61.5" hidden="false" customHeight="true" outlineLevel="0" collapsed="false">
      <c r="A5" s="12" t="s">
        <v>127</v>
      </c>
      <c r="B5" s="13" t="s">
        <v>128</v>
      </c>
      <c r="C5" s="16" t="s">
        <v>41</v>
      </c>
      <c r="D5" s="13" t="s">
        <v>129</v>
      </c>
      <c r="E5" s="13" t="s">
        <v>130</v>
      </c>
      <c r="F5" s="13" t="s">
        <v>131</v>
      </c>
      <c r="G5" s="13" t="s">
        <v>132</v>
      </c>
      <c r="H5" s="13" t="s">
        <v>133</v>
      </c>
      <c r="I5" s="13" t="s">
        <v>134</v>
      </c>
      <c r="J5" s="13" t="s">
        <v>135</v>
      </c>
      <c r="K5" s="13" t="s">
        <v>136</v>
      </c>
      <c r="L5" s="13" t="s">
        <v>137</v>
      </c>
      <c r="M5" s="13" t="s">
        <v>48</v>
      </c>
      <c r="N5" s="15" t="s">
        <v>34</v>
      </c>
      <c r="O5" s="15"/>
      <c r="P5" s="15"/>
      <c r="Q5" s="15"/>
      <c r="R5" s="15"/>
      <c r="T5" s="0" t="n">
        <v>5</v>
      </c>
    </row>
    <row r="6" customFormat="false" ht="61.5" hidden="false" customHeight="true" outlineLevel="0" collapsed="false">
      <c r="A6" s="12" t="s">
        <v>138</v>
      </c>
      <c r="B6" s="13" t="s">
        <v>139</v>
      </c>
      <c r="C6" s="17" t="s">
        <v>39</v>
      </c>
      <c r="D6" s="13" t="s">
        <v>129</v>
      </c>
      <c r="E6" s="13" t="s">
        <v>140</v>
      </c>
      <c r="F6" s="13" t="s">
        <v>141</v>
      </c>
      <c r="G6" s="13" t="s">
        <v>142</v>
      </c>
      <c r="H6" s="13"/>
      <c r="I6" s="13" t="s">
        <v>143</v>
      </c>
      <c r="J6" s="13" t="s">
        <v>144</v>
      </c>
      <c r="K6" s="13" t="s">
        <v>145</v>
      </c>
      <c r="L6" s="13" t="s">
        <v>146</v>
      </c>
      <c r="M6" s="13" t="s">
        <v>48</v>
      </c>
      <c r="N6" s="15" t="s">
        <v>34</v>
      </c>
      <c r="O6" s="15"/>
      <c r="P6" s="15"/>
      <c r="Q6" s="15"/>
      <c r="R6" s="15"/>
      <c r="T6" s="0" t="n">
        <v>8</v>
      </c>
    </row>
    <row r="7" customFormat="false" ht="61.5" hidden="false" customHeight="true" outlineLevel="0" collapsed="false">
      <c r="A7" s="12" t="s">
        <v>147</v>
      </c>
      <c r="B7" s="13" t="s">
        <v>148</v>
      </c>
      <c r="C7" s="16" t="s">
        <v>41</v>
      </c>
      <c r="D7" s="13" t="s">
        <v>129</v>
      </c>
      <c r="E7" s="13" t="s">
        <v>140</v>
      </c>
      <c r="F7" s="13" t="s">
        <v>149</v>
      </c>
      <c r="G7" s="13" t="s">
        <v>150</v>
      </c>
      <c r="H7" s="13"/>
      <c r="I7" s="13" t="s">
        <v>151</v>
      </c>
      <c r="J7" s="13" t="s">
        <v>152</v>
      </c>
      <c r="K7" s="13" t="s">
        <v>153</v>
      </c>
      <c r="L7" s="13" t="s">
        <v>154</v>
      </c>
      <c r="M7" s="13" t="s">
        <v>48</v>
      </c>
      <c r="N7" s="15" t="s">
        <v>34</v>
      </c>
      <c r="O7" s="15"/>
      <c r="P7" s="15"/>
      <c r="Q7" s="15"/>
      <c r="R7" s="15"/>
      <c r="T7" s="0" t="n">
        <v>5</v>
      </c>
    </row>
    <row r="8" customFormat="false" ht="61.5" hidden="false" customHeight="true" outlineLevel="0" collapsed="false">
      <c r="A8" s="12" t="s">
        <v>155</v>
      </c>
      <c r="B8" s="13" t="s">
        <v>156</v>
      </c>
      <c r="C8" s="16" t="s">
        <v>41</v>
      </c>
      <c r="D8" s="13" t="s">
        <v>129</v>
      </c>
      <c r="E8" s="13" t="s">
        <v>111</v>
      </c>
      <c r="F8" s="13" t="s">
        <v>157</v>
      </c>
      <c r="G8" s="13" t="s">
        <v>158</v>
      </c>
      <c r="H8" s="13"/>
      <c r="I8" s="13" t="s">
        <v>159</v>
      </c>
      <c r="J8" s="13" t="s">
        <v>160</v>
      </c>
      <c r="K8" s="13" t="s">
        <v>161</v>
      </c>
      <c r="L8" s="13" t="s">
        <v>162</v>
      </c>
      <c r="M8" s="13" t="s">
        <v>48</v>
      </c>
      <c r="N8" s="15" t="s">
        <v>34</v>
      </c>
      <c r="O8" s="15"/>
      <c r="P8" s="15"/>
      <c r="Q8" s="15"/>
      <c r="R8" s="15"/>
      <c r="T8" s="0" t="n">
        <v>5</v>
      </c>
    </row>
    <row r="9" customFormat="false" ht="61.5" hidden="false" customHeight="true" outlineLevel="0" collapsed="false">
      <c r="A9" s="12" t="s">
        <v>163</v>
      </c>
      <c r="B9" s="13" t="s">
        <v>164</v>
      </c>
      <c r="C9" s="16" t="s">
        <v>41</v>
      </c>
      <c r="D9" s="13" t="s">
        <v>129</v>
      </c>
      <c r="E9" s="13" t="s">
        <v>111</v>
      </c>
      <c r="F9" s="13" t="s">
        <v>165</v>
      </c>
      <c r="G9" s="13" t="s">
        <v>166</v>
      </c>
      <c r="H9" s="13"/>
      <c r="I9" s="13" t="s">
        <v>167</v>
      </c>
      <c r="J9" s="13" t="s">
        <v>168</v>
      </c>
      <c r="K9" s="13" t="s">
        <v>169</v>
      </c>
      <c r="L9" s="13" t="s">
        <v>170</v>
      </c>
      <c r="M9" s="13" t="s">
        <v>48</v>
      </c>
      <c r="N9" s="15" t="s">
        <v>34</v>
      </c>
      <c r="O9" s="15"/>
      <c r="P9" s="15"/>
      <c r="Q9" s="15"/>
      <c r="R9" s="15"/>
      <c r="T9" s="0" t="n">
        <v>5</v>
      </c>
    </row>
    <row r="10" customFormat="false" ht="61.5" hidden="false" customHeight="true" outlineLevel="0" collapsed="false">
      <c r="A10" s="12" t="s">
        <v>171</v>
      </c>
      <c r="B10" s="13" t="s">
        <v>172</v>
      </c>
      <c r="C10" s="17" t="s">
        <v>39</v>
      </c>
      <c r="D10" s="13" t="s">
        <v>129</v>
      </c>
      <c r="E10" s="13" t="s">
        <v>173</v>
      </c>
      <c r="F10" s="13" t="s">
        <v>174</v>
      </c>
      <c r="G10" s="13" t="s">
        <v>175</v>
      </c>
      <c r="H10" s="13"/>
      <c r="I10" s="13" t="s">
        <v>176</v>
      </c>
      <c r="J10" s="13" t="s">
        <v>177</v>
      </c>
      <c r="K10" s="13" t="s">
        <v>178</v>
      </c>
      <c r="L10" s="13" t="s">
        <v>179</v>
      </c>
      <c r="M10" s="13" t="s">
        <v>48</v>
      </c>
      <c r="N10" s="15" t="s">
        <v>34</v>
      </c>
      <c r="O10" s="15"/>
      <c r="P10" s="15"/>
      <c r="Q10" s="15"/>
      <c r="R10" s="15"/>
      <c r="T10" s="0" t="n">
        <v>8</v>
      </c>
    </row>
    <row r="11" customFormat="false" ht="61.5" hidden="false" customHeight="true" outlineLevel="0" collapsed="false">
      <c r="A11" s="12" t="s">
        <v>180</v>
      </c>
      <c r="B11" s="13" t="s">
        <v>181</v>
      </c>
      <c r="C11" s="18" t="s">
        <v>45</v>
      </c>
      <c r="D11" s="13" t="s">
        <v>129</v>
      </c>
      <c r="E11" s="13" t="s">
        <v>111</v>
      </c>
      <c r="F11" s="13" t="s">
        <v>182</v>
      </c>
      <c r="G11" s="13" t="s">
        <v>183</v>
      </c>
      <c r="H11" s="13" t="s">
        <v>184</v>
      </c>
      <c r="I11" s="13" t="s">
        <v>185</v>
      </c>
      <c r="J11" s="13" t="s">
        <v>186</v>
      </c>
      <c r="K11" s="13" t="s">
        <v>187</v>
      </c>
      <c r="L11" s="13" t="s">
        <v>188</v>
      </c>
      <c r="M11" s="13" t="s">
        <v>48</v>
      </c>
      <c r="N11" s="15" t="s">
        <v>34</v>
      </c>
      <c r="O11" s="15"/>
      <c r="P11" s="15"/>
      <c r="Q11" s="15"/>
      <c r="R11" s="15"/>
      <c r="T11" s="0" t="n">
        <v>1</v>
      </c>
    </row>
  </sheetData>
  <autoFilter ref="A2:R11"/>
  <mergeCells count="1">
    <mergeCell ref="A1:H1"/>
  </mergeCells>
  <conditionalFormatting sqref="N3:N11">
    <cfRule type="cellIs" priority="2" operator="equal" aboveAverage="0" equalAverage="0" bottom="0" percent="0" rank="0" text="" dxfId="12">
      <formula>"pass"</formula>
    </cfRule>
    <cfRule type="cellIs" priority="3" operator="equal" aboveAverage="0" equalAverage="0" bottom="0" percent="0" rank="0" text="" dxfId="13">
      <formula>"partial"</formula>
    </cfRule>
    <cfRule type="cellIs" priority="4" operator="equal" aboveAverage="0" equalAverage="0" bottom="0" percent="0" rank="0" text="" dxfId="14">
      <formula>"fail"</formula>
    </cfRule>
    <cfRule type="cellIs" priority="5" operator="equal" aboveAverage="0" equalAverage="0" bottom="0" percent="0" rank="0" text="" dxfId="15">
      <formula>"na"</formula>
    </cfRule>
    <cfRule type="cellIs" priority="6" operator="equal" aboveAverage="0" equalAverage="0" bottom="0" percent="0" rank="0" text="" dxfId="16">
      <formula>"unknown"</formula>
    </cfRule>
  </conditionalFormatting>
  <dataValidations count="1">
    <dataValidation allowBlank="false" error="Choose one of: unknown, pass, partial, fail, na" errorStyle="stop" errorTitle="Invalid result" operator="between" showDropDown="false" showErrorMessage="false" showInputMessage="false" sqref="N3:N11" type="list">
      <formula1>"unknown,pass,partial,fail,na"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6"/>
    <col collapsed="false" customWidth="true" hidden="false" outlineLevel="0" max="3" min="3" style="0" width="10"/>
    <col collapsed="false" customWidth="true" hidden="false" outlineLevel="0" max="4" min="4" style="0" width="13"/>
    <col collapsed="false" customWidth="true" hidden="false" outlineLevel="0" max="5" min="5" style="0" width="22"/>
    <col collapsed="false" customWidth="true" hidden="false" outlineLevel="0" max="7" min="6" style="0" width="62"/>
    <col collapsed="false" customWidth="true" hidden="false" outlineLevel="0" max="8" min="8" style="0" width="26"/>
    <col collapsed="false" customWidth="true" hidden="false" outlineLevel="0" max="9" min="9" style="0" width="52"/>
    <col collapsed="false" customWidth="true" hidden="false" outlineLevel="0" max="10" min="10" style="0" width="58"/>
    <col collapsed="false" customWidth="true" hidden="false" outlineLevel="0" max="11" min="11" style="0" width="50"/>
    <col collapsed="false" customWidth="true" hidden="false" outlineLevel="0" max="12" min="12" style="0" width="30"/>
    <col collapsed="false" customWidth="true" hidden="false" outlineLevel="0" max="14" min="13" style="0" width="11"/>
    <col collapsed="false" customWidth="true" hidden="false" outlineLevel="0" max="15" min="15" style="0" width="26"/>
    <col collapsed="false" customWidth="true" hidden="false" outlineLevel="0" max="16" min="16" style="0" width="16"/>
    <col collapsed="false" customWidth="true" hidden="false" outlineLevel="0" max="17" min="17" style="0" width="12"/>
    <col collapsed="false" customWidth="true" hidden="false" outlineLevel="0" max="18" min="18" style="0" width="30"/>
    <col collapsed="false" customWidth="true" hidden="true" outlineLevel="0" max="20" min="20" style="0" width="13"/>
  </cols>
  <sheetData>
    <row r="1" customFormat="false" ht="17.35" hidden="false" customHeight="false" outlineLevel="0" collapsed="false">
      <c r="A1" s="9" t="s">
        <v>189</v>
      </c>
      <c r="B1" s="9"/>
      <c r="C1" s="9"/>
      <c r="D1" s="9"/>
      <c r="E1" s="9"/>
      <c r="F1" s="9"/>
      <c r="G1" s="9"/>
      <c r="H1" s="9"/>
      <c r="J1" s="10" t="s">
        <v>88</v>
      </c>
    </row>
    <row r="2" customFormat="false" ht="30" hidden="false" customHeight="true" outlineLevel="0" collapsed="false">
      <c r="A2" s="11" t="s">
        <v>89</v>
      </c>
      <c r="B2" s="11" t="s">
        <v>90</v>
      </c>
      <c r="C2" s="11" t="s">
        <v>91</v>
      </c>
      <c r="D2" s="11" t="s">
        <v>92</v>
      </c>
      <c r="E2" s="11" t="s">
        <v>93</v>
      </c>
      <c r="F2" s="11" t="s">
        <v>94</v>
      </c>
      <c r="G2" s="11" t="s">
        <v>95</v>
      </c>
      <c r="H2" s="11" t="s">
        <v>96</v>
      </c>
      <c r="I2" s="11" t="s">
        <v>97</v>
      </c>
      <c r="J2" s="11" t="s">
        <v>98</v>
      </c>
      <c r="K2" s="11" t="s">
        <v>99</v>
      </c>
      <c r="L2" s="11" t="s">
        <v>100</v>
      </c>
      <c r="M2" s="11" t="s">
        <v>101</v>
      </c>
      <c r="N2" s="11" t="s">
        <v>102</v>
      </c>
      <c r="O2" s="11" t="s">
        <v>103</v>
      </c>
      <c r="P2" s="11" t="s">
        <v>104</v>
      </c>
      <c r="Q2" s="11" t="s">
        <v>105</v>
      </c>
      <c r="R2" s="11" t="s">
        <v>106</v>
      </c>
      <c r="T2" s="10" t="s">
        <v>107</v>
      </c>
    </row>
    <row r="3" customFormat="false" ht="61.5" hidden="false" customHeight="true" outlineLevel="0" collapsed="false">
      <c r="A3" s="12" t="s">
        <v>190</v>
      </c>
      <c r="B3" s="13" t="s">
        <v>191</v>
      </c>
      <c r="C3" s="14" t="s">
        <v>37</v>
      </c>
      <c r="D3" s="13" t="s">
        <v>192</v>
      </c>
      <c r="E3" s="13" t="s">
        <v>111</v>
      </c>
      <c r="F3" s="13" t="s">
        <v>193</v>
      </c>
      <c r="G3" s="13" t="s">
        <v>194</v>
      </c>
      <c r="H3" s="13" t="s">
        <v>195</v>
      </c>
      <c r="I3" s="13" t="s">
        <v>196</v>
      </c>
      <c r="J3" s="13" t="s">
        <v>197</v>
      </c>
      <c r="K3" s="13" t="s">
        <v>198</v>
      </c>
      <c r="L3" s="13" t="s">
        <v>199</v>
      </c>
      <c r="M3" s="13" t="s">
        <v>48</v>
      </c>
      <c r="N3" s="15" t="s">
        <v>34</v>
      </c>
      <c r="O3" s="15"/>
      <c r="P3" s="15"/>
      <c r="Q3" s="15"/>
      <c r="R3" s="15"/>
      <c r="T3" s="0" t="n">
        <v>13</v>
      </c>
    </row>
    <row r="4" customFormat="false" ht="61.5" hidden="false" customHeight="true" outlineLevel="0" collapsed="false">
      <c r="A4" s="12" t="s">
        <v>200</v>
      </c>
      <c r="B4" s="13" t="s">
        <v>201</v>
      </c>
      <c r="C4" s="14" t="s">
        <v>37</v>
      </c>
      <c r="D4" s="13" t="s">
        <v>192</v>
      </c>
      <c r="E4" s="13" t="s">
        <v>173</v>
      </c>
      <c r="F4" s="13" t="s">
        <v>202</v>
      </c>
      <c r="G4" s="13" t="s">
        <v>203</v>
      </c>
      <c r="H4" s="13"/>
      <c r="I4" s="13" t="s">
        <v>204</v>
      </c>
      <c r="J4" s="13" t="s">
        <v>205</v>
      </c>
      <c r="K4" s="13" t="s">
        <v>206</v>
      </c>
      <c r="L4" s="13" t="s">
        <v>207</v>
      </c>
      <c r="M4" s="13" t="s">
        <v>48</v>
      </c>
      <c r="N4" s="15" t="s">
        <v>34</v>
      </c>
      <c r="O4" s="15"/>
      <c r="P4" s="15"/>
      <c r="Q4" s="15"/>
      <c r="R4" s="15"/>
      <c r="T4" s="0" t="n">
        <v>13</v>
      </c>
    </row>
    <row r="5" customFormat="false" ht="61.5" hidden="false" customHeight="true" outlineLevel="0" collapsed="false">
      <c r="A5" s="12" t="s">
        <v>208</v>
      </c>
      <c r="B5" s="13" t="s">
        <v>209</v>
      </c>
      <c r="C5" s="17" t="s">
        <v>39</v>
      </c>
      <c r="D5" s="13" t="s">
        <v>210</v>
      </c>
      <c r="E5" s="13" t="s">
        <v>211</v>
      </c>
      <c r="F5" s="13" t="s">
        <v>212</v>
      </c>
      <c r="G5" s="13" t="s">
        <v>213</v>
      </c>
      <c r="H5" s="13" t="s">
        <v>214</v>
      </c>
      <c r="I5" s="13" t="s">
        <v>215</v>
      </c>
      <c r="J5" s="13" t="s">
        <v>216</v>
      </c>
      <c r="K5" s="13" t="s">
        <v>217</v>
      </c>
      <c r="L5" s="13" t="s">
        <v>218</v>
      </c>
      <c r="M5" s="13" t="s">
        <v>48</v>
      </c>
      <c r="N5" s="15" t="s">
        <v>34</v>
      </c>
      <c r="O5" s="15"/>
      <c r="P5" s="15"/>
      <c r="Q5" s="15"/>
      <c r="R5" s="15"/>
      <c r="T5" s="0" t="n">
        <v>8</v>
      </c>
    </row>
    <row r="6" customFormat="false" ht="61.5" hidden="false" customHeight="true" outlineLevel="0" collapsed="false">
      <c r="A6" s="12" t="s">
        <v>219</v>
      </c>
      <c r="B6" s="13" t="s">
        <v>220</v>
      </c>
      <c r="C6" s="16" t="s">
        <v>41</v>
      </c>
      <c r="D6" s="13" t="s">
        <v>210</v>
      </c>
      <c r="E6" s="13" t="s">
        <v>211</v>
      </c>
      <c r="F6" s="13" t="s">
        <v>221</v>
      </c>
      <c r="G6" s="13" t="s">
        <v>222</v>
      </c>
      <c r="H6" s="13"/>
      <c r="I6" s="13" t="s">
        <v>223</v>
      </c>
      <c r="J6" s="13" t="s">
        <v>224</v>
      </c>
      <c r="K6" s="13" t="s">
        <v>225</v>
      </c>
      <c r="L6" s="13" t="s">
        <v>218</v>
      </c>
      <c r="M6" s="13" t="s">
        <v>48</v>
      </c>
      <c r="N6" s="15" t="s">
        <v>34</v>
      </c>
      <c r="O6" s="15"/>
      <c r="P6" s="15"/>
      <c r="Q6" s="15"/>
      <c r="R6" s="15"/>
      <c r="T6" s="0" t="n">
        <v>5</v>
      </c>
    </row>
    <row r="7" customFormat="false" ht="61.5" hidden="false" customHeight="true" outlineLevel="0" collapsed="false">
      <c r="A7" s="12" t="s">
        <v>226</v>
      </c>
      <c r="B7" s="13" t="s">
        <v>227</v>
      </c>
      <c r="C7" s="17" t="s">
        <v>39</v>
      </c>
      <c r="D7" s="13" t="s">
        <v>192</v>
      </c>
      <c r="E7" s="13" t="s">
        <v>111</v>
      </c>
      <c r="F7" s="13" t="s">
        <v>228</v>
      </c>
      <c r="G7" s="13" t="s">
        <v>229</v>
      </c>
      <c r="H7" s="13"/>
      <c r="I7" s="13" t="s">
        <v>230</v>
      </c>
      <c r="J7" s="13" t="s">
        <v>231</v>
      </c>
      <c r="K7" s="13" t="s">
        <v>232</v>
      </c>
      <c r="L7" s="13" t="s">
        <v>170</v>
      </c>
      <c r="M7" s="13" t="s">
        <v>48</v>
      </c>
      <c r="N7" s="15" t="s">
        <v>34</v>
      </c>
      <c r="O7" s="15"/>
      <c r="P7" s="15"/>
      <c r="Q7" s="15"/>
      <c r="R7" s="15"/>
      <c r="T7" s="0" t="n">
        <v>8</v>
      </c>
    </row>
    <row r="8" customFormat="false" ht="61.5" hidden="false" customHeight="true" outlineLevel="0" collapsed="false">
      <c r="A8" s="12" t="s">
        <v>233</v>
      </c>
      <c r="B8" s="13" t="s">
        <v>234</v>
      </c>
      <c r="C8" s="19" t="s">
        <v>43</v>
      </c>
      <c r="D8" s="13" t="s">
        <v>129</v>
      </c>
      <c r="E8" s="13" t="s">
        <v>173</v>
      </c>
      <c r="F8" s="13" t="s">
        <v>235</v>
      </c>
      <c r="G8" s="13" t="s">
        <v>236</v>
      </c>
      <c r="H8" s="13"/>
      <c r="I8" s="13" t="s">
        <v>237</v>
      </c>
      <c r="J8" s="13" t="s">
        <v>238</v>
      </c>
      <c r="K8" s="13" t="s">
        <v>239</v>
      </c>
      <c r="L8" s="13" t="s">
        <v>179</v>
      </c>
      <c r="M8" s="13" t="s">
        <v>48</v>
      </c>
      <c r="N8" s="15" t="s">
        <v>34</v>
      </c>
      <c r="O8" s="15"/>
      <c r="P8" s="15"/>
      <c r="Q8" s="15"/>
      <c r="R8" s="15"/>
      <c r="T8" s="0" t="n">
        <v>3</v>
      </c>
    </row>
  </sheetData>
  <autoFilter ref="A2:R8"/>
  <mergeCells count="1">
    <mergeCell ref="A1:H1"/>
  </mergeCells>
  <conditionalFormatting sqref="N3:N8">
    <cfRule type="cellIs" priority="2" operator="equal" aboveAverage="0" equalAverage="0" bottom="0" percent="0" rank="0" text="" dxfId="12">
      <formula>"pass"</formula>
    </cfRule>
    <cfRule type="cellIs" priority="3" operator="equal" aboveAverage="0" equalAverage="0" bottom="0" percent="0" rank="0" text="" dxfId="13">
      <formula>"partial"</formula>
    </cfRule>
    <cfRule type="cellIs" priority="4" operator="equal" aboveAverage="0" equalAverage="0" bottom="0" percent="0" rank="0" text="" dxfId="14">
      <formula>"fail"</formula>
    </cfRule>
    <cfRule type="cellIs" priority="5" operator="equal" aboveAverage="0" equalAverage="0" bottom="0" percent="0" rank="0" text="" dxfId="15">
      <formula>"na"</formula>
    </cfRule>
    <cfRule type="cellIs" priority="6" operator="equal" aboveAverage="0" equalAverage="0" bottom="0" percent="0" rank="0" text="" dxfId="16">
      <formula>"unknown"</formula>
    </cfRule>
  </conditionalFormatting>
  <dataValidations count="1">
    <dataValidation allowBlank="false" error="Choose one of: unknown, pass, partial, fail, na" errorStyle="stop" errorTitle="Invalid result" operator="between" showDropDown="false" showErrorMessage="false" showInputMessage="false" sqref="N3:N8" type="list">
      <formula1>"unknown,pass,partial,fail,na"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6"/>
    <col collapsed="false" customWidth="true" hidden="false" outlineLevel="0" max="3" min="3" style="0" width="10"/>
    <col collapsed="false" customWidth="true" hidden="false" outlineLevel="0" max="4" min="4" style="0" width="13"/>
    <col collapsed="false" customWidth="true" hidden="false" outlineLevel="0" max="5" min="5" style="0" width="22"/>
    <col collapsed="false" customWidth="true" hidden="false" outlineLevel="0" max="7" min="6" style="0" width="62"/>
    <col collapsed="false" customWidth="true" hidden="false" outlineLevel="0" max="8" min="8" style="0" width="26"/>
    <col collapsed="false" customWidth="true" hidden="false" outlineLevel="0" max="9" min="9" style="0" width="52"/>
    <col collapsed="false" customWidth="true" hidden="false" outlineLevel="0" max="10" min="10" style="0" width="58"/>
    <col collapsed="false" customWidth="true" hidden="false" outlineLevel="0" max="11" min="11" style="0" width="50"/>
    <col collapsed="false" customWidth="true" hidden="false" outlineLevel="0" max="12" min="12" style="0" width="30"/>
    <col collapsed="false" customWidth="true" hidden="false" outlineLevel="0" max="14" min="13" style="0" width="11"/>
    <col collapsed="false" customWidth="true" hidden="false" outlineLevel="0" max="15" min="15" style="0" width="26"/>
    <col collapsed="false" customWidth="true" hidden="false" outlineLevel="0" max="16" min="16" style="0" width="16"/>
    <col collapsed="false" customWidth="true" hidden="false" outlineLevel="0" max="17" min="17" style="0" width="12"/>
    <col collapsed="false" customWidth="true" hidden="false" outlineLevel="0" max="18" min="18" style="0" width="30"/>
    <col collapsed="false" customWidth="true" hidden="true" outlineLevel="0" max="20" min="20" style="0" width="13"/>
  </cols>
  <sheetData>
    <row r="1" customFormat="false" ht="17.35" hidden="false" customHeight="false" outlineLevel="0" collapsed="false">
      <c r="A1" s="9" t="s">
        <v>240</v>
      </c>
      <c r="B1" s="9"/>
      <c r="C1" s="9"/>
      <c r="D1" s="9"/>
      <c r="E1" s="9"/>
      <c r="F1" s="9"/>
      <c r="G1" s="9"/>
      <c r="H1" s="9"/>
      <c r="J1" s="10" t="s">
        <v>88</v>
      </c>
    </row>
    <row r="2" customFormat="false" ht="30" hidden="false" customHeight="true" outlineLevel="0" collapsed="false">
      <c r="A2" s="11" t="s">
        <v>89</v>
      </c>
      <c r="B2" s="11" t="s">
        <v>90</v>
      </c>
      <c r="C2" s="11" t="s">
        <v>91</v>
      </c>
      <c r="D2" s="11" t="s">
        <v>92</v>
      </c>
      <c r="E2" s="11" t="s">
        <v>93</v>
      </c>
      <c r="F2" s="11" t="s">
        <v>94</v>
      </c>
      <c r="G2" s="11" t="s">
        <v>95</v>
      </c>
      <c r="H2" s="11" t="s">
        <v>96</v>
      </c>
      <c r="I2" s="11" t="s">
        <v>97</v>
      </c>
      <c r="J2" s="11" t="s">
        <v>98</v>
      </c>
      <c r="K2" s="11" t="s">
        <v>99</v>
      </c>
      <c r="L2" s="11" t="s">
        <v>100</v>
      </c>
      <c r="M2" s="11" t="s">
        <v>101</v>
      </c>
      <c r="N2" s="11" t="s">
        <v>102</v>
      </c>
      <c r="O2" s="11" t="s">
        <v>103</v>
      </c>
      <c r="P2" s="11" t="s">
        <v>104</v>
      </c>
      <c r="Q2" s="11" t="s">
        <v>105</v>
      </c>
      <c r="R2" s="11" t="s">
        <v>106</v>
      </c>
      <c r="T2" s="10" t="s">
        <v>107</v>
      </c>
    </row>
    <row r="3" customFormat="false" ht="61.5" hidden="false" customHeight="true" outlineLevel="0" collapsed="false">
      <c r="A3" s="12" t="s">
        <v>241</v>
      </c>
      <c r="B3" s="13" t="s">
        <v>242</v>
      </c>
      <c r="C3" s="17" t="s">
        <v>39</v>
      </c>
      <c r="D3" s="13" t="s">
        <v>129</v>
      </c>
      <c r="E3" s="13" t="s">
        <v>111</v>
      </c>
      <c r="F3" s="13" t="s">
        <v>243</v>
      </c>
      <c r="G3" s="13" t="s">
        <v>244</v>
      </c>
      <c r="H3" s="13"/>
      <c r="I3" s="13" t="s">
        <v>245</v>
      </c>
      <c r="J3" s="13" t="s">
        <v>246</v>
      </c>
      <c r="K3" s="13" t="s">
        <v>247</v>
      </c>
      <c r="L3" s="13" t="s">
        <v>248</v>
      </c>
      <c r="M3" s="13" t="s">
        <v>50</v>
      </c>
      <c r="N3" s="15" t="s">
        <v>34</v>
      </c>
      <c r="O3" s="15"/>
      <c r="P3" s="15"/>
      <c r="Q3" s="15"/>
      <c r="R3" s="15"/>
      <c r="T3" s="0" t="n">
        <v>8</v>
      </c>
    </row>
    <row r="4" customFormat="false" ht="61.5" hidden="false" customHeight="true" outlineLevel="0" collapsed="false">
      <c r="A4" s="12" t="s">
        <v>249</v>
      </c>
      <c r="B4" s="13" t="s">
        <v>250</v>
      </c>
      <c r="C4" s="16" t="s">
        <v>41</v>
      </c>
      <c r="D4" s="13" t="s">
        <v>129</v>
      </c>
      <c r="E4" s="13" t="s">
        <v>111</v>
      </c>
      <c r="F4" s="13" t="s">
        <v>251</v>
      </c>
      <c r="G4" s="13" t="s">
        <v>252</v>
      </c>
      <c r="H4" s="13"/>
      <c r="I4" s="13" t="s">
        <v>253</v>
      </c>
      <c r="J4" s="13" t="s">
        <v>254</v>
      </c>
      <c r="K4" s="13" t="s">
        <v>255</v>
      </c>
      <c r="L4" s="13" t="s">
        <v>256</v>
      </c>
      <c r="M4" s="13" t="s">
        <v>48</v>
      </c>
      <c r="N4" s="15" t="s">
        <v>34</v>
      </c>
      <c r="O4" s="15"/>
      <c r="P4" s="15"/>
      <c r="Q4" s="15"/>
      <c r="R4" s="15"/>
      <c r="T4" s="0" t="n">
        <v>5</v>
      </c>
    </row>
    <row r="5" customFormat="false" ht="61.5" hidden="false" customHeight="true" outlineLevel="0" collapsed="false">
      <c r="A5" s="12" t="s">
        <v>257</v>
      </c>
      <c r="B5" s="13" t="s">
        <v>258</v>
      </c>
      <c r="C5" s="16" t="s">
        <v>41</v>
      </c>
      <c r="D5" s="13" t="s">
        <v>129</v>
      </c>
      <c r="E5" s="13" t="s">
        <v>140</v>
      </c>
      <c r="F5" s="13" t="s">
        <v>259</v>
      </c>
      <c r="G5" s="13" t="s">
        <v>260</v>
      </c>
      <c r="H5" s="13"/>
      <c r="I5" s="13" t="s">
        <v>261</v>
      </c>
      <c r="J5" s="13" t="s">
        <v>262</v>
      </c>
      <c r="K5" s="13" t="s">
        <v>263</v>
      </c>
      <c r="L5" s="13" t="s">
        <v>264</v>
      </c>
      <c r="M5" s="13" t="s">
        <v>50</v>
      </c>
      <c r="N5" s="15" t="s">
        <v>34</v>
      </c>
      <c r="O5" s="15"/>
      <c r="P5" s="15"/>
      <c r="Q5" s="15"/>
      <c r="R5" s="15"/>
      <c r="T5" s="0" t="n">
        <v>5</v>
      </c>
    </row>
    <row r="6" customFormat="false" ht="61.5" hidden="false" customHeight="true" outlineLevel="0" collapsed="false">
      <c r="A6" s="12" t="s">
        <v>265</v>
      </c>
      <c r="B6" s="13" t="s">
        <v>266</v>
      </c>
      <c r="C6" s="17" t="s">
        <v>39</v>
      </c>
      <c r="D6" s="13" t="s">
        <v>129</v>
      </c>
      <c r="E6" s="13" t="s">
        <v>140</v>
      </c>
      <c r="F6" s="13" t="s">
        <v>267</v>
      </c>
      <c r="G6" s="13" t="s">
        <v>268</v>
      </c>
      <c r="H6" s="13"/>
      <c r="I6" s="13" t="s">
        <v>269</v>
      </c>
      <c r="J6" s="13" t="s">
        <v>270</v>
      </c>
      <c r="K6" s="13" t="s">
        <v>271</v>
      </c>
      <c r="L6" s="13" t="s">
        <v>272</v>
      </c>
      <c r="M6" s="13" t="s">
        <v>48</v>
      </c>
      <c r="N6" s="15" t="s">
        <v>34</v>
      </c>
      <c r="O6" s="15"/>
      <c r="P6" s="15"/>
      <c r="Q6" s="15"/>
      <c r="R6" s="15"/>
      <c r="T6" s="0" t="n">
        <v>8</v>
      </c>
    </row>
    <row r="7" customFormat="false" ht="61.5" hidden="false" customHeight="true" outlineLevel="0" collapsed="false">
      <c r="A7" s="12" t="s">
        <v>273</v>
      </c>
      <c r="B7" s="13" t="s">
        <v>274</v>
      </c>
      <c r="C7" s="18" t="s">
        <v>45</v>
      </c>
      <c r="D7" s="13" t="s">
        <v>192</v>
      </c>
      <c r="E7" s="13" t="s">
        <v>140</v>
      </c>
      <c r="F7" s="13" t="s">
        <v>275</v>
      </c>
      <c r="G7" s="13" t="s">
        <v>276</v>
      </c>
      <c r="H7" s="13"/>
      <c r="I7" s="13" t="s">
        <v>277</v>
      </c>
      <c r="J7" s="13" t="s">
        <v>278</v>
      </c>
      <c r="K7" s="13" t="s">
        <v>279</v>
      </c>
      <c r="L7" s="13" t="s">
        <v>280</v>
      </c>
      <c r="M7" s="13" t="s">
        <v>48</v>
      </c>
      <c r="N7" s="15" t="s">
        <v>34</v>
      </c>
      <c r="O7" s="15"/>
      <c r="P7" s="15"/>
      <c r="Q7" s="15"/>
      <c r="R7" s="15"/>
      <c r="T7" s="0" t="n">
        <v>1</v>
      </c>
    </row>
    <row r="8" customFormat="false" ht="61.5" hidden="false" customHeight="true" outlineLevel="0" collapsed="false">
      <c r="A8" s="12" t="s">
        <v>281</v>
      </c>
      <c r="B8" s="13" t="s">
        <v>282</v>
      </c>
      <c r="C8" s="16" t="s">
        <v>41</v>
      </c>
      <c r="D8" s="13" t="s">
        <v>283</v>
      </c>
      <c r="E8" s="13" t="s">
        <v>140</v>
      </c>
      <c r="F8" s="13" t="s">
        <v>284</v>
      </c>
      <c r="G8" s="13" t="s">
        <v>285</v>
      </c>
      <c r="H8" s="13"/>
      <c r="I8" s="13" t="s">
        <v>286</v>
      </c>
      <c r="J8" s="13" t="s">
        <v>287</v>
      </c>
      <c r="K8" s="13" t="s">
        <v>288</v>
      </c>
      <c r="L8" s="13" t="s">
        <v>289</v>
      </c>
      <c r="M8" s="13" t="s">
        <v>48</v>
      </c>
      <c r="N8" s="15" t="s">
        <v>34</v>
      </c>
      <c r="O8" s="15"/>
      <c r="P8" s="15"/>
      <c r="Q8" s="15"/>
      <c r="R8" s="15"/>
      <c r="T8" s="0" t="n">
        <v>5</v>
      </c>
    </row>
    <row r="9" customFormat="false" ht="61.5" hidden="false" customHeight="true" outlineLevel="0" collapsed="false">
      <c r="A9" s="12" t="s">
        <v>290</v>
      </c>
      <c r="B9" s="13" t="s">
        <v>291</v>
      </c>
      <c r="C9" s="19" t="s">
        <v>43</v>
      </c>
      <c r="D9" s="13" t="s">
        <v>283</v>
      </c>
      <c r="E9" s="13" t="s">
        <v>140</v>
      </c>
      <c r="F9" s="13" t="s">
        <v>292</v>
      </c>
      <c r="G9" s="13" t="s">
        <v>293</v>
      </c>
      <c r="H9" s="13"/>
      <c r="I9" s="13" t="s">
        <v>294</v>
      </c>
      <c r="J9" s="13" t="s">
        <v>295</v>
      </c>
      <c r="K9" s="13" t="s">
        <v>296</v>
      </c>
      <c r="L9" s="13" t="s">
        <v>297</v>
      </c>
      <c r="M9" s="13" t="s">
        <v>48</v>
      </c>
      <c r="N9" s="15" t="s">
        <v>34</v>
      </c>
      <c r="O9" s="15"/>
      <c r="P9" s="15"/>
      <c r="Q9" s="15"/>
      <c r="R9" s="15"/>
      <c r="T9" s="0" t="n">
        <v>3</v>
      </c>
    </row>
  </sheetData>
  <autoFilter ref="A2:R9"/>
  <mergeCells count="1">
    <mergeCell ref="A1:H1"/>
  </mergeCells>
  <conditionalFormatting sqref="N3:N9">
    <cfRule type="cellIs" priority="2" operator="equal" aboveAverage="0" equalAverage="0" bottom="0" percent="0" rank="0" text="" dxfId="12">
      <formula>"pass"</formula>
    </cfRule>
    <cfRule type="cellIs" priority="3" operator="equal" aboveAverage="0" equalAverage="0" bottom="0" percent="0" rank="0" text="" dxfId="13">
      <formula>"partial"</formula>
    </cfRule>
    <cfRule type="cellIs" priority="4" operator="equal" aboveAverage="0" equalAverage="0" bottom="0" percent="0" rank="0" text="" dxfId="14">
      <formula>"fail"</formula>
    </cfRule>
    <cfRule type="cellIs" priority="5" operator="equal" aboveAverage="0" equalAverage="0" bottom="0" percent="0" rank="0" text="" dxfId="15">
      <formula>"na"</formula>
    </cfRule>
    <cfRule type="cellIs" priority="6" operator="equal" aboveAverage="0" equalAverage="0" bottom="0" percent="0" rank="0" text="" dxfId="16">
      <formula>"unknown"</formula>
    </cfRule>
  </conditionalFormatting>
  <dataValidations count="1">
    <dataValidation allowBlank="false" error="Choose one of: unknown, pass, partial, fail, na" errorStyle="stop" errorTitle="Invalid result" operator="between" showDropDown="false" showErrorMessage="false" showInputMessage="false" sqref="N3:N9" type="list">
      <formula1>"unknown,pass,partial,fail,na"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6"/>
    <col collapsed="false" customWidth="true" hidden="false" outlineLevel="0" max="3" min="3" style="0" width="10"/>
    <col collapsed="false" customWidth="true" hidden="false" outlineLevel="0" max="4" min="4" style="0" width="13"/>
    <col collapsed="false" customWidth="true" hidden="false" outlineLevel="0" max="5" min="5" style="0" width="22"/>
    <col collapsed="false" customWidth="true" hidden="false" outlineLevel="0" max="7" min="6" style="0" width="62"/>
    <col collapsed="false" customWidth="true" hidden="false" outlineLevel="0" max="8" min="8" style="0" width="26"/>
    <col collapsed="false" customWidth="true" hidden="false" outlineLevel="0" max="9" min="9" style="0" width="52"/>
    <col collapsed="false" customWidth="true" hidden="false" outlineLevel="0" max="10" min="10" style="0" width="58"/>
    <col collapsed="false" customWidth="true" hidden="false" outlineLevel="0" max="11" min="11" style="0" width="50"/>
    <col collapsed="false" customWidth="true" hidden="false" outlineLevel="0" max="12" min="12" style="0" width="30"/>
    <col collapsed="false" customWidth="true" hidden="false" outlineLevel="0" max="14" min="13" style="0" width="11"/>
    <col collapsed="false" customWidth="true" hidden="false" outlineLevel="0" max="15" min="15" style="0" width="26"/>
    <col collapsed="false" customWidth="true" hidden="false" outlineLevel="0" max="16" min="16" style="0" width="16"/>
    <col collapsed="false" customWidth="true" hidden="false" outlineLevel="0" max="17" min="17" style="0" width="12"/>
    <col collapsed="false" customWidth="true" hidden="false" outlineLevel="0" max="18" min="18" style="0" width="30"/>
    <col collapsed="false" customWidth="true" hidden="true" outlineLevel="0" max="20" min="20" style="0" width="13"/>
  </cols>
  <sheetData>
    <row r="1" customFormat="false" ht="17.35" hidden="false" customHeight="false" outlineLevel="0" collapsed="false">
      <c r="A1" s="9" t="s">
        <v>298</v>
      </c>
      <c r="B1" s="9"/>
      <c r="C1" s="9"/>
      <c r="D1" s="9"/>
      <c r="E1" s="9"/>
      <c r="F1" s="9"/>
      <c r="G1" s="9"/>
      <c r="H1" s="9"/>
      <c r="J1" s="10" t="s">
        <v>88</v>
      </c>
    </row>
    <row r="2" customFormat="false" ht="30" hidden="false" customHeight="true" outlineLevel="0" collapsed="false">
      <c r="A2" s="11" t="s">
        <v>89</v>
      </c>
      <c r="B2" s="11" t="s">
        <v>90</v>
      </c>
      <c r="C2" s="11" t="s">
        <v>91</v>
      </c>
      <c r="D2" s="11" t="s">
        <v>92</v>
      </c>
      <c r="E2" s="11" t="s">
        <v>93</v>
      </c>
      <c r="F2" s="11" t="s">
        <v>94</v>
      </c>
      <c r="G2" s="11" t="s">
        <v>95</v>
      </c>
      <c r="H2" s="11" t="s">
        <v>96</v>
      </c>
      <c r="I2" s="11" t="s">
        <v>97</v>
      </c>
      <c r="J2" s="11" t="s">
        <v>98</v>
      </c>
      <c r="K2" s="11" t="s">
        <v>99</v>
      </c>
      <c r="L2" s="11" t="s">
        <v>100</v>
      </c>
      <c r="M2" s="11" t="s">
        <v>101</v>
      </c>
      <c r="N2" s="11" t="s">
        <v>102</v>
      </c>
      <c r="O2" s="11" t="s">
        <v>103</v>
      </c>
      <c r="P2" s="11" t="s">
        <v>104</v>
      </c>
      <c r="Q2" s="11" t="s">
        <v>105</v>
      </c>
      <c r="R2" s="11" t="s">
        <v>106</v>
      </c>
      <c r="T2" s="10" t="s">
        <v>107</v>
      </c>
    </row>
    <row r="3" customFormat="false" ht="61.5" hidden="false" customHeight="true" outlineLevel="0" collapsed="false">
      <c r="A3" s="12" t="s">
        <v>299</v>
      </c>
      <c r="B3" s="13" t="s">
        <v>300</v>
      </c>
      <c r="C3" s="14" t="s">
        <v>37</v>
      </c>
      <c r="D3" s="13" t="s">
        <v>301</v>
      </c>
      <c r="E3" s="13" t="s">
        <v>111</v>
      </c>
      <c r="F3" s="13" t="s">
        <v>302</v>
      </c>
      <c r="G3" s="13" t="s">
        <v>303</v>
      </c>
      <c r="H3" s="13"/>
      <c r="I3" s="13" t="s">
        <v>304</v>
      </c>
      <c r="J3" s="13" t="s">
        <v>305</v>
      </c>
      <c r="K3" s="13" t="s">
        <v>306</v>
      </c>
      <c r="L3" s="13" t="s">
        <v>307</v>
      </c>
      <c r="M3" s="13" t="s">
        <v>48</v>
      </c>
      <c r="N3" s="15" t="s">
        <v>34</v>
      </c>
      <c r="O3" s="15"/>
      <c r="P3" s="15"/>
      <c r="Q3" s="15"/>
      <c r="R3" s="15"/>
      <c r="T3" s="0" t="n">
        <v>13</v>
      </c>
    </row>
    <row r="4" customFormat="false" ht="61.5" hidden="false" customHeight="true" outlineLevel="0" collapsed="false">
      <c r="A4" s="12" t="s">
        <v>308</v>
      </c>
      <c r="B4" s="13" t="s">
        <v>309</v>
      </c>
      <c r="C4" s="17" t="s">
        <v>39</v>
      </c>
      <c r="D4" s="13" t="s">
        <v>192</v>
      </c>
      <c r="E4" s="13" t="s">
        <v>111</v>
      </c>
      <c r="F4" s="13" t="s">
        <v>310</v>
      </c>
      <c r="G4" s="13" t="s">
        <v>311</v>
      </c>
      <c r="H4" s="13" t="s">
        <v>312</v>
      </c>
      <c r="I4" s="13" t="s">
        <v>313</v>
      </c>
      <c r="J4" s="13" t="s">
        <v>314</v>
      </c>
      <c r="K4" s="13" t="s">
        <v>315</v>
      </c>
      <c r="L4" s="13" t="s">
        <v>316</v>
      </c>
      <c r="M4" s="13" t="s">
        <v>48</v>
      </c>
      <c r="N4" s="15" t="s">
        <v>34</v>
      </c>
      <c r="O4" s="15"/>
      <c r="P4" s="15"/>
      <c r="Q4" s="15"/>
      <c r="R4" s="15"/>
      <c r="T4" s="0" t="n">
        <v>8</v>
      </c>
    </row>
    <row r="5" customFormat="false" ht="61.5" hidden="false" customHeight="true" outlineLevel="0" collapsed="false">
      <c r="A5" s="12" t="s">
        <v>317</v>
      </c>
      <c r="B5" s="13" t="s">
        <v>318</v>
      </c>
      <c r="C5" s="17" t="s">
        <v>39</v>
      </c>
      <c r="D5" s="13" t="s">
        <v>192</v>
      </c>
      <c r="E5" s="13" t="s">
        <v>140</v>
      </c>
      <c r="F5" s="13" t="s">
        <v>319</v>
      </c>
      <c r="G5" s="13" t="s">
        <v>320</v>
      </c>
      <c r="H5" s="13" t="s">
        <v>321</v>
      </c>
      <c r="I5" s="13" t="s">
        <v>322</v>
      </c>
      <c r="J5" s="13" t="s">
        <v>323</v>
      </c>
      <c r="K5" s="13" t="s">
        <v>324</v>
      </c>
      <c r="L5" s="13" t="s">
        <v>316</v>
      </c>
      <c r="M5" s="13" t="s">
        <v>48</v>
      </c>
      <c r="N5" s="15" t="s">
        <v>34</v>
      </c>
      <c r="O5" s="15"/>
      <c r="P5" s="15"/>
      <c r="Q5" s="15"/>
      <c r="R5" s="15"/>
      <c r="T5" s="0" t="n">
        <v>8</v>
      </c>
    </row>
    <row r="6" customFormat="false" ht="61.5" hidden="false" customHeight="true" outlineLevel="0" collapsed="false">
      <c r="A6" s="12" t="s">
        <v>325</v>
      </c>
      <c r="B6" s="13" t="s">
        <v>326</v>
      </c>
      <c r="C6" s="16" t="s">
        <v>41</v>
      </c>
      <c r="D6" s="13" t="s">
        <v>192</v>
      </c>
      <c r="E6" s="13" t="s">
        <v>140</v>
      </c>
      <c r="F6" s="13" t="s">
        <v>327</v>
      </c>
      <c r="G6" s="13" t="s">
        <v>328</v>
      </c>
      <c r="H6" s="13" t="s">
        <v>329</v>
      </c>
      <c r="I6" s="13" t="s">
        <v>330</v>
      </c>
      <c r="J6" s="13" t="s">
        <v>331</v>
      </c>
      <c r="K6" s="13" t="s">
        <v>332</v>
      </c>
      <c r="L6" s="13" t="s">
        <v>316</v>
      </c>
      <c r="M6" s="13" t="s">
        <v>48</v>
      </c>
      <c r="N6" s="15" t="s">
        <v>34</v>
      </c>
      <c r="O6" s="15"/>
      <c r="P6" s="15"/>
      <c r="Q6" s="15"/>
      <c r="R6" s="15"/>
      <c r="T6" s="0" t="n">
        <v>5</v>
      </c>
    </row>
    <row r="7" customFormat="false" ht="61.5" hidden="false" customHeight="true" outlineLevel="0" collapsed="false">
      <c r="A7" s="12" t="s">
        <v>333</v>
      </c>
      <c r="B7" s="13" t="s">
        <v>334</v>
      </c>
      <c r="C7" s="17" t="s">
        <v>39</v>
      </c>
      <c r="D7" s="13" t="s">
        <v>335</v>
      </c>
      <c r="E7" s="13" t="s">
        <v>140</v>
      </c>
      <c r="F7" s="13" t="s">
        <v>336</v>
      </c>
      <c r="G7" s="13" t="s">
        <v>337</v>
      </c>
      <c r="H7" s="13"/>
      <c r="I7" s="13" t="s">
        <v>338</v>
      </c>
      <c r="J7" s="13" t="s">
        <v>339</v>
      </c>
      <c r="K7" s="13" t="s">
        <v>340</v>
      </c>
      <c r="L7" s="13" t="s">
        <v>316</v>
      </c>
      <c r="M7" s="13" t="s">
        <v>48</v>
      </c>
      <c r="N7" s="15" t="s">
        <v>34</v>
      </c>
      <c r="O7" s="15"/>
      <c r="P7" s="15"/>
      <c r="Q7" s="15"/>
      <c r="R7" s="15"/>
      <c r="T7" s="0" t="n">
        <v>8</v>
      </c>
    </row>
    <row r="8" customFormat="false" ht="61.5" hidden="false" customHeight="true" outlineLevel="0" collapsed="false">
      <c r="A8" s="12" t="s">
        <v>341</v>
      </c>
      <c r="B8" s="13" t="s">
        <v>342</v>
      </c>
      <c r="C8" s="16" t="s">
        <v>41</v>
      </c>
      <c r="D8" s="13" t="s">
        <v>343</v>
      </c>
      <c r="E8" s="13" t="s">
        <v>111</v>
      </c>
      <c r="F8" s="13" t="s">
        <v>344</v>
      </c>
      <c r="G8" s="13" t="s">
        <v>345</v>
      </c>
      <c r="H8" s="13"/>
      <c r="I8" s="13" t="s">
        <v>346</v>
      </c>
      <c r="J8" s="13" t="s">
        <v>347</v>
      </c>
      <c r="K8" s="13" t="s">
        <v>348</v>
      </c>
      <c r="L8" s="13" t="s">
        <v>349</v>
      </c>
      <c r="M8" s="13" t="s">
        <v>48</v>
      </c>
      <c r="N8" s="15" t="s">
        <v>34</v>
      </c>
      <c r="O8" s="15"/>
      <c r="P8" s="15"/>
      <c r="Q8" s="15"/>
      <c r="R8" s="15"/>
      <c r="T8" s="0" t="n">
        <v>5</v>
      </c>
    </row>
    <row r="9" customFormat="false" ht="61.5" hidden="false" customHeight="true" outlineLevel="0" collapsed="false">
      <c r="A9" s="12" t="s">
        <v>350</v>
      </c>
      <c r="B9" s="13" t="s">
        <v>351</v>
      </c>
      <c r="C9" s="16" t="s">
        <v>41</v>
      </c>
      <c r="D9" s="13" t="s">
        <v>343</v>
      </c>
      <c r="E9" s="13" t="s">
        <v>140</v>
      </c>
      <c r="F9" s="13" t="s">
        <v>352</v>
      </c>
      <c r="G9" s="13" t="s">
        <v>353</v>
      </c>
      <c r="H9" s="13"/>
      <c r="I9" s="13" t="s">
        <v>354</v>
      </c>
      <c r="J9" s="13" t="s">
        <v>355</v>
      </c>
      <c r="K9" s="13" t="s">
        <v>356</v>
      </c>
      <c r="L9" s="13" t="s">
        <v>297</v>
      </c>
      <c r="M9" s="13" t="s">
        <v>48</v>
      </c>
      <c r="N9" s="15" t="s">
        <v>34</v>
      </c>
      <c r="O9" s="15"/>
      <c r="P9" s="15"/>
      <c r="Q9" s="15"/>
      <c r="R9" s="15"/>
      <c r="T9" s="0" t="n">
        <v>5</v>
      </c>
    </row>
    <row r="10" customFormat="false" ht="61.5" hidden="false" customHeight="true" outlineLevel="0" collapsed="false">
      <c r="A10" s="12" t="s">
        <v>357</v>
      </c>
      <c r="B10" s="13" t="s">
        <v>358</v>
      </c>
      <c r="C10" s="16" t="s">
        <v>41</v>
      </c>
      <c r="D10" s="13" t="s">
        <v>343</v>
      </c>
      <c r="E10" s="13" t="s">
        <v>111</v>
      </c>
      <c r="F10" s="13" t="s">
        <v>359</v>
      </c>
      <c r="G10" s="13" t="s">
        <v>360</v>
      </c>
      <c r="H10" s="13"/>
      <c r="I10" s="13" t="s">
        <v>361</v>
      </c>
      <c r="J10" s="13" t="s">
        <v>362</v>
      </c>
      <c r="K10" s="13" t="s">
        <v>363</v>
      </c>
      <c r="L10" s="13" t="s">
        <v>364</v>
      </c>
      <c r="M10" s="13" t="s">
        <v>48</v>
      </c>
      <c r="N10" s="15" t="s">
        <v>34</v>
      </c>
      <c r="O10" s="15"/>
      <c r="P10" s="15"/>
      <c r="Q10" s="15"/>
      <c r="R10" s="15"/>
      <c r="T10" s="0" t="n">
        <v>5</v>
      </c>
    </row>
    <row r="11" customFormat="false" ht="61.5" hidden="false" customHeight="true" outlineLevel="0" collapsed="false">
      <c r="A11" s="12" t="s">
        <v>365</v>
      </c>
      <c r="B11" s="13" t="s">
        <v>366</v>
      </c>
      <c r="C11" s="17" t="s">
        <v>39</v>
      </c>
      <c r="D11" s="13" t="s">
        <v>129</v>
      </c>
      <c r="E11" s="13" t="s">
        <v>111</v>
      </c>
      <c r="F11" s="13" t="s">
        <v>367</v>
      </c>
      <c r="G11" s="13" t="s">
        <v>368</v>
      </c>
      <c r="H11" s="13"/>
      <c r="I11" s="13" t="s">
        <v>369</v>
      </c>
      <c r="J11" s="13" t="s">
        <v>370</v>
      </c>
      <c r="K11" s="13" t="s">
        <v>371</v>
      </c>
      <c r="L11" s="13" t="s">
        <v>372</v>
      </c>
      <c r="M11" s="13" t="s">
        <v>48</v>
      </c>
      <c r="N11" s="15" t="s">
        <v>34</v>
      </c>
      <c r="O11" s="15"/>
      <c r="P11" s="15"/>
      <c r="Q11" s="15"/>
      <c r="R11" s="15"/>
      <c r="T11" s="0" t="n">
        <v>8</v>
      </c>
    </row>
    <row r="12" customFormat="false" ht="61.5" hidden="false" customHeight="true" outlineLevel="0" collapsed="false">
      <c r="A12" s="12" t="s">
        <v>373</v>
      </c>
      <c r="B12" s="13" t="s">
        <v>374</v>
      </c>
      <c r="C12" s="17" t="s">
        <v>39</v>
      </c>
      <c r="D12" s="13" t="s">
        <v>301</v>
      </c>
      <c r="E12" s="13" t="s">
        <v>173</v>
      </c>
      <c r="F12" s="13" t="s">
        <v>375</v>
      </c>
      <c r="G12" s="13" t="s">
        <v>376</v>
      </c>
      <c r="H12" s="13"/>
      <c r="I12" s="13" t="s">
        <v>377</v>
      </c>
      <c r="J12" s="13" t="s">
        <v>378</v>
      </c>
      <c r="K12" s="13" t="s">
        <v>379</v>
      </c>
      <c r="L12" s="13" t="s">
        <v>380</v>
      </c>
      <c r="M12" s="13" t="s">
        <v>48</v>
      </c>
      <c r="N12" s="15" t="s">
        <v>34</v>
      </c>
      <c r="O12" s="15"/>
      <c r="P12" s="15"/>
      <c r="Q12" s="15"/>
      <c r="R12" s="15"/>
      <c r="T12" s="0" t="n">
        <v>8</v>
      </c>
    </row>
    <row r="13" customFormat="false" ht="61.5" hidden="false" customHeight="true" outlineLevel="0" collapsed="false">
      <c r="A13" s="12" t="s">
        <v>381</v>
      </c>
      <c r="B13" s="13" t="s">
        <v>382</v>
      </c>
      <c r="C13" s="17" t="s">
        <v>39</v>
      </c>
      <c r="D13" s="13" t="s">
        <v>301</v>
      </c>
      <c r="E13" s="13" t="s">
        <v>111</v>
      </c>
      <c r="F13" s="13" t="s">
        <v>383</v>
      </c>
      <c r="G13" s="13" t="s">
        <v>384</v>
      </c>
      <c r="H13" s="13"/>
      <c r="I13" s="13" t="s">
        <v>385</v>
      </c>
      <c r="J13" s="13" t="s">
        <v>386</v>
      </c>
      <c r="K13" s="13" t="s">
        <v>387</v>
      </c>
      <c r="L13" s="13" t="s">
        <v>380</v>
      </c>
      <c r="M13" s="13" t="s">
        <v>48</v>
      </c>
      <c r="N13" s="15" t="s">
        <v>34</v>
      </c>
      <c r="O13" s="15"/>
      <c r="P13" s="15"/>
      <c r="Q13" s="15"/>
      <c r="R13" s="15"/>
      <c r="T13" s="0" t="n">
        <v>8</v>
      </c>
    </row>
    <row r="14" customFormat="false" ht="61.5" hidden="false" customHeight="true" outlineLevel="0" collapsed="false">
      <c r="A14" s="12" t="s">
        <v>388</v>
      </c>
      <c r="B14" s="13" t="s">
        <v>389</v>
      </c>
      <c r="C14" s="17" t="s">
        <v>39</v>
      </c>
      <c r="D14" s="13" t="s">
        <v>301</v>
      </c>
      <c r="E14" s="13" t="s">
        <v>111</v>
      </c>
      <c r="F14" s="13" t="s">
        <v>390</v>
      </c>
      <c r="G14" s="13" t="s">
        <v>391</v>
      </c>
      <c r="H14" s="13"/>
      <c r="I14" s="13" t="s">
        <v>392</v>
      </c>
      <c r="J14" s="13" t="s">
        <v>393</v>
      </c>
      <c r="K14" s="13" t="s">
        <v>394</v>
      </c>
      <c r="L14" s="13" t="s">
        <v>395</v>
      </c>
      <c r="M14" s="13" t="s">
        <v>48</v>
      </c>
      <c r="N14" s="15" t="s">
        <v>34</v>
      </c>
      <c r="O14" s="15"/>
      <c r="P14" s="15"/>
      <c r="Q14" s="15"/>
      <c r="R14" s="15"/>
      <c r="T14" s="0" t="n">
        <v>8</v>
      </c>
    </row>
    <row r="15" customFormat="false" ht="61.5" hidden="false" customHeight="true" outlineLevel="0" collapsed="false">
      <c r="A15" s="12" t="s">
        <v>396</v>
      </c>
      <c r="B15" s="13" t="s">
        <v>397</v>
      </c>
      <c r="C15" s="16" t="s">
        <v>41</v>
      </c>
      <c r="D15" s="13" t="s">
        <v>301</v>
      </c>
      <c r="E15" s="13" t="s">
        <v>140</v>
      </c>
      <c r="F15" s="13" t="s">
        <v>398</v>
      </c>
      <c r="G15" s="13" t="s">
        <v>399</v>
      </c>
      <c r="H15" s="13"/>
      <c r="I15" s="13" t="s">
        <v>400</v>
      </c>
      <c r="J15" s="13" t="s">
        <v>401</v>
      </c>
      <c r="K15" s="13" t="s">
        <v>402</v>
      </c>
      <c r="L15" s="13" t="s">
        <v>256</v>
      </c>
      <c r="M15" s="13" t="s">
        <v>48</v>
      </c>
      <c r="N15" s="15" t="s">
        <v>34</v>
      </c>
      <c r="O15" s="15"/>
      <c r="P15" s="15"/>
      <c r="Q15" s="15"/>
      <c r="R15" s="15"/>
      <c r="T15" s="0" t="n">
        <v>5</v>
      </c>
    </row>
    <row r="16" customFormat="false" ht="61.5" hidden="false" customHeight="true" outlineLevel="0" collapsed="false">
      <c r="A16" s="12" t="s">
        <v>403</v>
      </c>
      <c r="B16" s="13" t="s">
        <v>404</v>
      </c>
      <c r="C16" s="16" t="s">
        <v>41</v>
      </c>
      <c r="D16" s="13" t="s">
        <v>343</v>
      </c>
      <c r="E16" s="13" t="s">
        <v>111</v>
      </c>
      <c r="F16" s="13" t="s">
        <v>405</v>
      </c>
      <c r="G16" s="13" t="s">
        <v>406</v>
      </c>
      <c r="H16" s="13"/>
      <c r="I16" s="13" t="s">
        <v>407</v>
      </c>
      <c r="J16" s="13" t="s">
        <v>408</v>
      </c>
      <c r="K16" s="13" t="s">
        <v>409</v>
      </c>
      <c r="L16" s="13" t="s">
        <v>410</v>
      </c>
      <c r="M16" s="13" t="s">
        <v>48</v>
      </c>
      <c r="N16" s="15" t="s">
        <v>34</v>
      </c>
      <c r="O16" s="15"/>
      <c r="P16" s="15"/>
      <c r="Q16" s="15"/>
      <c r="R16" s="15"/>
      <c r="T16" s="0" t="n">
        <v>5</v>
      </c>
    </row>
    <row r="17" customFormat="false" ht="61.5" hidden="false" customHeight="true" outlineLevel="0" collapsed="false">
      <c r="A17" s="12" t="s">
        <v>411</v>
      </c>
      <c r="B17" s="13" t="s">
        <v>412</v>
      </c>
      <c r="C17" s="19" t="s">
        <v>43</v>
      </c>
      <c r="D17" s="13" t="s">
        <v>210</v>
      </c>
      <c r="E17" s="13" t="s">
        <v>140</v>
      </c>
      <c r="F17" s="13" t="s">
        <v>413</v>
      </c>
      <c r="G17" s="13" t="s">
        <v>414</v>
      </c>
      <c r="H17" s="13" t="s">
        <v>415</v>
      </c>
      <c r="I17" s="13" t="s">
        <v>416</v>
      </c>
      <c r="J17" s="13" t="s">
        <v>417</v>
      </c>
      <c r="K17" s="13" t="s">
        <v>418</v>
      </c>
      <c r="L17" s="13" t="s">
        <v>316</v>
      </c>
      <c r="M17" s="13" t="s">
        <v>48</v>
      </c>
      <c r="N17" s="15" t="s">
        <v>34</v>
      </c>
      <c r="O17" s="15"/>
      <c r="P17" s="15"/>
      <c r="Q17" s="15"/>
      <c r="R17" s="15"/>
      <c r="T17" s="0" t="n">
        <v>3</v>
      </c>
    </row>
    <row r="18" customFormat="false" ht="61.5" hidden="false" customHeight="true" outlineLevel="0" collapsed="false">
      <c r="A18" s="12" t="s">
        <v>419</v>
      </c>
      <c r="B18" s="13" t="s">
        <v>420</v>
      </c>
      <c r="C18" s="19" t="s">
        <v>43</v>
      </c>
      <c r="D18" s="13" t="s">
        <v>192</v>
      </c>
      <c r="E18" s="13" t="s">
        <v>140</v>
      </c>
      <c r="F18" s="13" t="s">
        <v>421</v>
      </c>
      <c r="G18" s="13" t="s">
        <v>422</v>
      </c>
      <c r="H18" s="13"/>
      <c r="I18" s="13" t="s">
        <v>423</v>
      </c>
      <c r="J18" s="13" t="s">
        <v>424</v>
      </c>
      <c r="K18" s="13" t="s">
        <v>425</v>
      </c>
      <c r="L18" s="13" t="s">
        <v>316</v>
      </c>
      <c r="M18" s="13" t="s">
        <v>48</v>
      </c>
      <c r="N18" s="15" t="s">
        <v>34</v>
      </c>
      <c r="O18" s="15"/>
      <c r="P18" s="15"/>
      <c r="Q18" s="15"/>
      <c r="R18" s="15"/>
      <c r="T18" s="0" t="n">
        <v>3</v>
      </c>
    </row>
    <row r="19" customFormat="false" ht="61.5" hidden="false" customHeight="true" outlineLevel="0" collapsed="false">
      <c r="A19" s="12" t="s">
        <v>426</v>
      </c>
      <c r="B19" s="13" t="s">
        <v>427</v>
      </c>
      <c r="C19" s="18" t="s">
        <v>45</v>
      </c>
      <c r="D19" s="13" t="s">
        <v>428</v>
      </c>
      <c r="E19" s="13" t="s">
        <v>140</v>
      </c>
      <c r="F19" s="13" t="s">
        <v>429</v>
      </c>
      <c r="G19" s="13" t="s">
        <v>430</v>
      </c>
      <c r="H19" s="13" t="s">
        <v>431</v>
      </c>
      <c r="I19" s="13" t="s">
        <v>432</v>
      </c>
      <c r="J19" s="13" t="s">
        <v>433</v>
      </c>
      <c r="K19" s="13" t="s">
        <v>434</v>
      </c>
      <c r="L19" s="13" t="s">
        <v>280</v>
      </c>
      <c r="M19" s="13" t="s">
        <v>48</v>
      </c>
      <c r="N19" s="15" t="s">
        <v>34</v>
      </c>
      <c r="O19" s="15"/>
      <c r="P19" s="15"/>
      <c r="Q19" s="15"/>
      <c r="R19" s="15"/>
      <c r="T19" s="0" t="n">
        <v>1</v>
      </c>
    </row>
    <row r="20" customFormat="false" ht="61.5" hidden="false" customHeight="true" outlineLevel="0" collapsed="false">
      <c r="A20" s="12" t="s">
        <v>435</v>
      </c>
      <c r="B20" s="13" t="s">
        <v>436</v>
      </c>
      <c r="C20" s="16" t="s">
        <v>41</v>
      </c>
      <c r="D20" s="13" t="s">
        <v>428</v>
      </c>
      <c r="E20" s="13" t="s">
        <v>140</v>
      </c>
      <c r="F20" s="13" t="s">
        <v>437</v>
      </c>
      <c r="G20" s="13" t="s">
        <v>438</v>
      </c>
      <c r="H20" s="13"/>
      <c r="I20" s="13" t="s">
        <v>439</v>
      </c>
      <c r="J20" s="13" t="s">
        <v>440</v>
      </c>
      <c r="K20" s="13" t="s">
        <v>441</v>
      </c>
      <c r="L20" s="13" t="s">
        <v>280</v>
      </c>
      <c r="M20" s="13" t="s">
        <v>48</v>
      </c>
      <c r="N20" s="15" t="s">
        <v>34</v>
      </c>
      <c r="O20" s="15"/>
      <c r="P20" s="15"/>
      <c r="Q20" s="15"/>
      <c r="R20" s="15"/>
      <c r="T20" s="0" t="n">
        <v>5</v>
      </c>
    </row>
    <row r="21" customFormat="false" ht="61.5" hidden="false" customHeight="true" outlineLevel="0" collapsed="false">
      <c r="A21" s="12" t="s">
        <v>442</v>
      </c>
      <c r="B21" s="13" t="s">
        <v>443</v>
      </c>
      <c r="C21" s="19" t="s">
        <v>43</v>
      </c>
      <c r="D21" s="13" t="s">
        <v>192</v>
      </c>
      <c r="E21" s="13" t="s">
        <v>140</v>
      </c>
      <c r="F21" s="13" t="s">
        <v>444</v>
      </c>
      <c r="G21" s="13" t="s">
        <v>445</v>
      </c>
      <c r="H21" s="13"/>
      <c r="I21" s="13" t="s">
        <v>446</v>
      </c>
      <c r="J21" s="13" t="s">
        <v>447</v>
      </c>
      <c r="K21" s="13" t="s">
        <v>448</v>
      </c>
      <c r="L21" s="13" t="s">
        <v>280</v>
      </c>
      <c r="M21" s="13" t="s">
        <v>48</v>
      </c>
      <c r="N21" s="15" t="s">
        <v>34</v>
      </c>
      <c r="O21" s="15"/>
      <c r="P21" s="15"/>
      <c r="Q21" s="15"/>
      <c r="R21" s="15"/>
      <c r="T21" s="0" t="n">
        <v>3</v>
      </c>
    </row>
    <row r="22" customFormat="false" ht="61.5" hidden="false" customHeight="true" outlineLevel="0" collapsed="false">
      <c r="A22" s="12" t="s">
        <v>449</v>
      </c>
      <c r="B22" s="13" t="s">
        <v>450</v>
      </c>
      <c r="C22" s="17" t="s">
        <v>39</v>
      </c>
      <c r="D22" s="13" t="s">
        <v>192</v>
      </c>
      <c r="E22" s="13" t="s">
        <v>173</v>
      </c>
      <c r="F22" s="13" t="s">
        <v>451</v>
      </c>
      <c r="G22" s="13" t="s">
        <v>452</v>
      </c>
      <c r="H22" s="13" t="s">
        <v>453</v>
      </c>
      <c r="I22" s="13" t="s">
        <v>454</v>
      </c>
      <c r="J22" s="13" t="s">
        <v>455</v>
      </c>
      <c r="K22" s="13" t="s">
        <v>456</v>
      </c>
      <c r="L22" s="13" t="s">
        <v>179</v>
      </c>
      <c r="M22" s="13" t="s">
        <v>48</v>
      </c>
      <c r="N22" s="15" t="s">
        <v>34</v>
      </c>
      <c r="O22" s="15"/>
      <c r="P22" s="15"/>
      <c r="Q22" s="15"/>
      <c r="R22" s="15"/>
      <c r="T22" s="0" t="n">
        <v>8</v>
      </c>
    </row>
    <row r="23" customFormat="false" ht="61.5" hidden="false" customHeight="true" outlineLevel="0" collapsed="false">
      <c r="A23" s="12" t="s">
        <v>457</v>
      </c>
      <c r="B23" s="13" t="s">
        <v>458</v>
      </c>
      <c r="C23" s="16" t="s">
        <v>41</v>
      </c>
      <c r="D23" s="13" t="s">
        <v>192</v>
      </c>
      <c r="E23" s="13" t="s">
        <v>173</v>
      </c>
      <c r="F23" s="13" t="s">
        <v>459</v>
      </c>
      <c r="G23" s="13" t="s">
        <v>460</v>
      </c>
      <c r="H23" s="13"/>
      <c r="I23" s="13" t="s">
        <v>461</v>
      </c>
      <c r="J23" s="13" t="s">
        <v>462</v>
      </c>
      <c r="K23" s="13" t="s">
        <v>463</v>
      </c>
      <c r="L23" s="13" t="s">
        <v>179</v>
      </c>
      <c r="M23" s="13" t="s">
        <v>48</v>
      </c>
      <c r="N23" s="15" t="s">
        <v>34</v>
      </c>
      <c r="O23" s="15"/>
      <c r="P23" s="15"/>
      <c r="Q23" s="15"/>
      <c r="R23" s="15"/>
      <c r="T23" s="0" t="n">
        <v>5</v>
      </c>
    </row>
  </sheetData>
  <autoFilter ref="A2:R23"/>
  <mergeCells count="1">
    <mergeCell ref="A1:H1"/>
  </mergeCells>
  <conditionalFormatting sqref="N3:N23">
    <cfRule type="cellIs" priority="2" operator="equal" aboveAverage="0" equalAverage="0" bottom="0" percent="0" rank="0" text="" dxfId="12">
      <formula>"pass"</formula>
    </cfRule>
    <cfRule type="cellIs" priority="3" operator="equal" aboveAverage="0" equalAverage="0" bottom="0" percent="0" rank="0" text="" dxfId="13">
      <formula>"partial"</formula>
    </cfRule>
    <cfRule type="cellIs" priority="4" operator="equal" aboveAverage="0" equalAverage="0" bottom="0" percent="0" rank="0" text="" dxfId="14">
      <formula>"fail"</formula>
    </cfRule>
    <cfRule type="cellIs" priority="5" operator="equal" aboveAverage="0" equalAverage="0" bottom="0" percent="0" rank="0" text="" dxfId="15">
      <formula>"na"</formula>
    </cfRule>
    <cfRule type="cellIs" priority="6" operator="equal" aboveAverage="0" equalAverage="0" bottom="0" percent="0" rank="0" text="" dxfId="16">
      <formula>"unknown"</formula>
    </cfRule>
  </conditionalFormatting>
  <dataValidations count="1">
    <dataValidation allowBlank="false" error="Choose one of: unknown, pass, partial, fail, na" errorStyle="stop" errorTitle="Invalid result" operator="between" showDropDown="false" showErrorMessage="false" showInputMessage="false" sqref="N3:N23" type="list">
      <formula1>"unknown,pass,partial,fail,na"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6"/>
    <col collapsed="false" customWidth="true" hidden="false" outlineLevel="0" max="3" min="3" style="0" width="10"/>
    <col collapsed="false" customWidth="true" hidden="false" outlineLevel="0" max="4" min="4" style="0" width="13"/>
    <col collapsed="false" customWidth="true" hidden="false" outlineLevel="0" max="5" min="5" style="0" width="22"/>
    <col collapsed="false" customWidth="true" hidden="false" outlineLevel="0" max="7" min="6" style="0" width="62"/>
    <col collapsed="false" customWidth="true" hidden="false" outlineLevel="0" max="8" min="8" style="0" width="26"/>
    <col collapsed="false" customWidth="true" hidden="false" outlineLevel="0" max="9" min="9" style="0" width="52"/>
    <col collapsed="false" customWidth="true" hidden="false" outlineLevel="0" max="10" min="10" style="0" width="58"/>
    <col collapsed="false" customWidth="true" hidden="false" outlineLevel="0" max="11" min="11" style="0" width="50"/>
    <col collapsed="false" customWidth="true" hidden="false" outlineLevel="0" max="12" min="12" style="0" width="30"/>
    <col collapsed="false" customWidth="true" hidden="false" outlineLevel="0" max="14" min="13" style="0" width="11"/>
    <col collapsed="false" customWidth="true" hidden="false" outlineLevel="0" max="15" min="15" style="0" width="26"/>
    <col collapsed="false" customWidth="true" hidden="false" outlineLevel="0" max="16" min="16" style="0" width="16"/>
    <col collapsed="false" customWidth="true" hidden="false" outlineLevel="0" max="17" min="17" style="0" width="12"/>
    <col collapsed="false" customWidth="true" hidden="false" outlineLevel="0" max="18" min="18" style="0" width="30"/>
    <col collapsed="false" customWidth="true" hidden="true" outlineLevel="0" max="20" min="20" style="0" width="13"/>
  </cols>
  <sheetData>
    <row r="1" customFormat="false" ht="17.35" hidden="false" customHeight="false" outlineLevel="0" collapsed="false">
      <c r="A1" s="9" t="s">
        <v>464</v>
      </c>
      <c r="B1" s="9"/>
      <c r="C1" s="9"/>
      <c r="D1" s="9"/>
      <c r="E1" s="9"/>
      <c r="F1" s="9"/>
      <c r="G1" s="9"/>
      <c r="H1" s="9"/>
      <c r="J1" s="10" t="s">
        <v>88</v>
      </c>
    </row>
    <row r="2" customFormat="false" ht="30" hidden="false" customHeight="true" outlineLevel="0" collapsed="false">
      <c r="A2" s="11" t="s">
        <v>89</v>
      </c>
      <c r="B2" s="11" t="s">
        <v>90</v>
      </c>
      <c r="C2" s="11" t="s">
        <v>91</v>
      </c>
      <c r="D2" s="11" t="s">
        <v>92</v>
      </c>
      <c r="E2" s="11" t="s">
        <v>93</v>
      </c>
      <c r="F2" s="11" t="s">
        <v>94</v>
      </c>
      <c r="G2" s="11" t="s">
        <v>95</v>
      </c>
      <c r="H2" s="11" t="s">
        <v>96</v>
      </c>
      <c r="I2" s="11" t="s">
        <v>97</v>
      </c>
      <c r="J2" s="11" t="s">
        <v>98</v>
      </c>
      <c r="K2" s="11" t="s">
        <v>99</v>
      </c>
      <c r="L2" s="11" t="s">
        <v>100</v>
      </c>
      <c r="M2" s="11" t="s">
        <v>101</v>
      </c>
      <c r="N2" s="11" t="s">
        <v>102</v>
      </c>
      <c r="O2" s="11" t="s">
        <v>103</v>
      </c>
      <c r="P2" s="11" t="s">
        <v>104</v>
      </c>
      <c r="Q2" s="11" t="s">
        <v>105</v>
      </c>
      <c r="R2" s="11" t="s">
        <v>106</v>
      </c>
      <c r="T2" s="10" t="s">
        <v>107</v>
      </c>
    </row>
    <row r="3" customFormat="false" ht="61.5" hidden="false" customHeight="true" outlineLevel="0" collapsed="false">
      <c r="A3" s="12" t="s">
        <v>465</v>
      </c>
      <c r="B3" s="13" t="s">
        <v>466</v>
      </c>
      <c r="C3" s="17" t="s">
        <v>39</v>
      </c>
      <c r="D3" s="13" t="s">
        <v>343</v>
      </c>
      <c r="E3" s="13" t="s">
        <v>111</v>
      </c>
      <c r="F3" s="13" t="s">
        <v>467</v>
      </c>
      <c r="G3" s="13" t="s">
        <v>468</v>
      </c>
      <c r="H3" s="13"/>
      <c r="I3" s="13" t="s">
        <v>469</v>
      </c>
      <c r="J3" s="13" t="s">
        <v>470</v>
      </c>
      <c r="K3" s="13" t="s">
        <v>471</v>
      </c>
      <c r="L3" s="13" t="s">
        <v>472</v>
      </c>
      <c r="M3" s="13" t="s">
        <v>48</v>
      </c>
      <c r="N3" s="15" t="s">
        <v>34</v>
      </c>
      <c r="O3" s="15"/>
      <c r="P3" s="15"/>
      <c r="Q3" s="15"/>
      <c r="R3" s="15"/>
      <c r="T3" s="0" t="n">
        <v>8</v>
      </c>
    </row>
    <row r="4" customFormat="false" ht="61.5" hidden="false" customHeight="true" outlineLevel="0" collapsed="false">
      <c r="A4" s="12" t="s">
        <v>473</v>
      </c>
      <c r="B4" s="13" t="s">
        <v>474</v>
      </c>
      <c r="C4" s="17" t="s">
        <v>39</v>
      </c>
      <c r="D4" s="13" t="s">
        <v>343</v>
      </c>
      <c r="E4" s="13" t="s">
        <v>111</v>
      </c>
      <c r="F4" s="13" t="s">
        <v>475</v>
      </c>
      <c r="G4" s="13" t="s">
        <v>476</v>
      </c>
      <c r="H4" s="13"/>
      <c r="I4" s="13" t="s">
        <v>477</v>
      </c>
      <c r="J4" s="13" t="s">
        <v>478</v>
      </c>
      <c r="K4" s="13" t="s">
        <v>479</v>
      </c>
      <c r="L4" s="13" t="s">
        <v>480</v>
      </c>
      <c r="M4" s="13" t="s">
        <v>48</v>
      </c>
      <c r="N4" s="15" t="s">
        <v>34</v>
      </c>
      <c r="O4" s="15"/>
      <c r="P4" s="15"/>
      <c r="Q4" s="15"/>
      <c r="R4" s="15"/>
      <c r="T4" s="0" t="n">
        <v>8</v>
      </c>
    </row>
    <row r="5" customFormat="false" ht="61.5" hidden="false" customHeight="true" outlineLevel="0" collapsed="false">
      <c r="A5" s="12" t="s">
        <v>481</v>
      </c>
      <c r="B5" s="13" t="s">
        <v>482</v>
      </c>
      <c r="C5" s="16" t="s">
        <v>41</v>
      </c>
      <c r="D5" s="13" t="s">
        <v>343</v>
      </c>
      <c r="E5" s="13" t="s">
        <v>111</v>
      </c>
      <c r="F5" s="13" t="s">
        <v>483</v>
      </c>
      <c r="G5" s="13" t="s">
        <v>484</v>
      </c>
      <c r="H5" s="13"/>
      <c r="I5" s="13" t="s">
        <v>485</v>
      </c>
      <c r="J5" s="13" t="s">
        <v>486</v>
      </c>
      <c r="K5" s="13" t="s">
        <v>487</v>
      </c>
      <c r="L5" s="13" t="s">
        <v>297</v>
      </c>
      <c r="M5" s="13" t="s">
        <v>48</v>
      </c>
      <c r="N5" s="15" t="s">
        <v>34</v>
      </c>
      <c r="O5" s="15"/>
      <c r="P5" s="15"/>
      <c r="Q5" s="15"/>
      <c r="R5" s="15"/>
      <c r="T5" s="0" t="n">
        <v>5</v>
      </c>
    </row>
    <row r="6" customFormat="false" ht="61.5" hidden="false" customHeight="true" outlineLevel="0" collapsed="false">
      <c r="A6" s="12" t="s">
        <v>488</v>
      </c>
      <c r="B6" s="13" t="s">
        <v>489</v>
      </c>
      <c r="C6" s="16" t="s">
        <v>41</v>
      </c>
      <c r="D6" s="13" t="s">
        <v>343</v>
      </c>
      <c r="E6" s="13" t="s">
        <v>140</v>
      </c>
      <c r="F6" s="13" t="s">
        <v>490</v>
      </c>
      <c r="G6" s="13" t="s">
        <v>491</v>
      </c>
      <c r="H6" s="13"/>
      <c r="I6" s="13" t="s">
        <v>492</v>
      </c>
      <c r="J6" s="13" t="s">
        <v>493</v>
      </c>
      <c r="K6" s="13" t="s">
        <v>494</v>
      </c>
      <c r="L6" s="13" t="s">
        <v>480</v>
      </c>
      <c r="M6" s="13" t="s">
        <v>48</v>
      </c>
      <c r="N6" s="15" t="s">
        <v>34</v>
      </c>
      <c r="O6" s="15"/>
      <c r="P6" s="15"/>
      <c r="Q6" s="15"/>
      <c r="R6" s="15"/>
      <c r="T6" s="0" t="n">
        <v>5</v>
      </c>
    </row>
    <row r="7" customFormat="false" ht="61.5" hidden="false" customHeight="true" outlineLevel="0" collapsed="false">
      <c r="A7" s="12" t="s">
        <v>495</v>
      </c>
      <c r="B7" s="13" t="s">
        <v>496</v>
      </c>
      <c r="C7" s="17" t="s">
        <v>39</v>
      </c>
      <c r="D7" s="13" t="s">
        <v>343</v>
      </c>
      <c r="E7" s="13" t="s">
        <v>111</v>
      </c>
      <c r="F7" s="13" t="s">
        <v>497</v>
      </c>
      <c r="G7" s="13" t="s">
        <v>498</v>
      </c>
      <c r="H7" s="13"/>
      <c r="I7" s="13" t="s">
        <v>499</v>
      </c>
      <c r="J7" s="13" t="s">
        <v>500</v>
      </c>
      <c r="K7" s="13" t="s">
        <v>501</v>
      </c>
      <c r="L7" s="13" t="s">
        <v>480</v>
      </c>
      <c r="M7" s="13" t="s">
        <v>48</v>
      </c>
      <c r="N7" s="15" t="s">
        <v>34</v>
      </c>
      <c r="O7" s="15"/>
      <c r="P7" s="15"/>
      <c r="Q7" s="15"/>
      <c r="R7" s="15"/>
      <c r="T7" s="0" t="n">
        <v>8</v>
      </c>
    </row>
    <row r="8" customFormat="false" ht="61.5" hidden="false" customHeight="true" outlineLevel="0" collapsed="false">
      <c r="A8" s="12" t="s">
        <v>502</v>
      </c>
      <c r="B8" s="13" t="s">
        <v>503</v>
      </c>
      <c r="C8" s="16" t="s">
        <v>41</v>
      </c>
      <c r="D8" s="13" t="s">
        <v>301</v>
      </c>
      <c r="E8" s="13" t="s">
        <v>111</v>
      </c>
      <c r="F8" s="13" t="s">
        <v>504</v>
      </c>
      <c r="G8" s="13" t="s">
        <v>505</v>
      </c>
      <c r="H8" s="13"/>
      <c r="I8" s="13" t="s">
        <v>506</v>
      </c>
      <c r="J8" s="13" t="s">
        <v>507</v>
      </c>
      <c r="K8" s="13" t="s">
        <v>508</v>
      </c>
      <c r="L8" s="13" t="s">
        <v>380</v>
      </c>
      <c r="M8" s="13" t="s">
        <v>48</v>
      </c>
      <c r="N8" s="15" t="s">
        <v>34</v>
      </c>
      <c r="O8" s="15"/>
      <c r="P8" s="15"/>
      <c r="Q8" s="15"/>
      <c r="R8" s="15"/>
      <c r="T8" s="0" t="n">
        <v>5</v>
      </c>
    </row>
    <row r="9" customFormat="false" ht="61.5" hidden="false" customHeight="true" outlineLevel="0" collapsed="false">
      <c r="A9" s="12" t="s">
        <v>509</v>
      </c>
      <c r="B9" s="13" t="s">
        <v>510</v>
      </c>
      <c r="C9" s="19" t="s">
        <v>43</v>
      </c>
      <c r="D9" s="13" t="s">
        <v>511</v>
      </c>
      <c r="E9" s="13" t="s">
        <v>111</v>
      </c>
      <c r="F9" s="13" t="s">
        <v>512</v>
      </c>
      <c r="G9" s="13" t="s">
        <v>513</v>
      </c>
      <c r="H9" s="13"/>
      <c r="I9" s="13" t="s">
        <v>514</v>
      </c>
      <c r="J9" s="13" t="s">
        <v>515</v>
      </c>
      <c r="K9" s="13" t="s">
        <v>516</v>
      </c>
      <c r="L9" s="13" t="s">
        <v>480</v>
      </c>
      <c r="M9" s="13" t="s">
        <v>48</v>
      </c>
      <c r="N9" s="15" t="s">
        <v>34</v>
      </c>
      <c r="O9" s="15"/>
      <c r="P9" s="15"/>
      <c r="Q9" s="15"/>
      <c r="R9" s="15"/>
      <c r="T9" s="0" t="n">
        <v>3</v>
      </c>
    </row>
    <row r="10" customFormat="false" ht="61.5" hidden="false" customHeight="true" outlineLevel="0" collapsed="false">
      <c r="A10" s="12" t="s">
        <v>517</v>
      </c>
      <c r="B10" s="13" t="s">
        <v>518</v>
      </c>
      <c r="C10" s="16" t="s">
        <v>41</v>
      </c>
      <c r="D10" s="13" t="s">
        <v>343</v>
      </c>
      <c r="E10" s="13" t="s">
        <v>111</v>
      </c>
      <c r="F10" s="13" t="s">
        <v>519</v>
      </c>
      <c r="G10" s="13" t="s">
        <v>520</v>
      </c>
      <c r="H10" s="13"/>
      <c r="I10" s="13" t="s">
        <v>521</v>
      </c>
      <c r="J10" s="13" t="s">
        <v>522</v>
      </c>
      <c r="K10" s="13" t="s">
        <v>523</v>
      </c>
      <c r="L10" s="13" t="s">
        <v>524</v>
      </c>
      <c r="M10" s="13" t="s">
        <v>48</v>
      </c>
      <c r="N10" s="15" t="s">
        <v>34</v>
      </c>
      <c r="O10" s="15"/>
      <c r="P10" s="15"/>
      <c r="Q10" s="15"/>
      <c r="R10" s="15"/>
      <c r="T10" s="0" t="n">
        <v>5</v>
      </c>
    </row>
    <row r="11" customFormat="false" ht="61.5" hidden="false" customHeight="true" outlineLevel="0" collapsed="false">
      <c r="A11" s="12" t="s">
        <v>525</v>
      </c>
      <c r="B11" s="13" t="s">
        <v>526</v>
      </c>
      <c r="C11" s="16" t="s">
        <v>41</v>
      </c>
      <c r="D11" s="13" t="s">
        <v>192</v>
      </c>
      <c r="E11" s="13" t="s">
        <v>140</v>
      </c>
      <c r="F11" s="13" t="s">
        <v>527</v>
      </c>
      <c r="G11" s="13" t="s">
        <v>528</v>
      </c>
      <c r="H11" s="13"/>
      <c r="I11" s="13" t="s">
        <v>529</v>
      </c>
      <c r="J11" s="13" t="s">
        <v>530</v>
      </c>
      <c r="K11" s="13" t="s">
        <v>531</v>
      </c>
      <c r="L11" s="13" t="s">
        <v>532</v>
      </c>
      <c r="M11" s="13" t="s">
        <v>48</v>
      </c>
      <c r="N11" s="15" t="s">
        <v>34</v>
      </c>
      <c r="O11" s="15"/>
      <c r="P11" s="15"/>
      <c r="Q11" s="15"/>
      <c r="R11" s="15"/>
      <c r="T11" s="0" t="n">
        <v>5</v>
      </c>
    </row>
    <row r="12" customFormat="false" ht="61.5" hidden="false" customHeight="true" outlineLevel="0" collapsed="false">
      <c r="A12" s="12" t="s">
        <v>533</v>
      </c>
      <c r="B12" s="13" t="s">
        <v>534</v>
      </c>
      <c r="C12" s="19" t="s">
        <v>43</v>
      </c>
      <c r="D12" s="13" t="s">
        <v>192</v>
      </c>
      <c r="E12" s="13" t="s">
        <v>140</v>
      </c>
      <c r="F12" s="13" t="s">
        <v>535</v>
      </c>
      <c r="G12" s="13" t="s">
        <v>536</v>
      </c>
      <c r="H12" s="13"/>
      <c r="I12" s="13" t="s">
        <v>537</v>
      </c>
      <c r="J12" s="13" t="s">
        <v>538</v>
      </c>
      <c r="K12" s="13" t="s">
        <v>539</v>
      </c>
      <c r="L12" s="13" t="s">
        <v>256</v>
      </c>
      <c r="M12" s="13" t="s">
        <v>48</v>
      </c>
      <c r="N12" s="15" t="s">
        <v>34</v>
      </c>
      <c r="O12" s="15"/>
      <c r="P12" s="15"/>
      <c r="Q12" s="15"/>
      <c r="R12" s="15"/>
      <c r="T12" s="0" t="n">
        <v>3</v>
      </c>
    </row>
  </sheetData>
  <autoFilter ref="A2:R12"/>
  <mergeCells count="1">
    <mergeCell ref="A1:H1"/>
  </mergeCells>
  <conditionalFormatting sqref="N3:N12">
    <cfRule type="cellIs" priority="2" operator="equal" aboveAverage="0" equalAverage="0" bottom="0" percent="0" rank="0" text="" dxfId="12">
      <formula>"pass"</formula>
    </cfRule>
    <cfRule type="cellIs" priority="3" operator="equal" aboveAverage="0" equalAverage="0" bottom="0" percent="0" rank="0" text="" dxfId="13">
      <formula>"partial"</formula>
    </cfRule>
    <cfRule type="cellIs" priority="4" operator="equal" aboveAverage="0" equalAverage="0" bottom="0" percent="0" rank="0" text="" dxfId="14">
      <formula>"fail"</formula>
    </cfRule>
    <cfRule type="cellIs" priority="5" operator="equal" aboveAverage="0" equalAverage="0" bottom="0" percent="0" rank="0" text="" dxfId="15">
      <formula>"na"</formula>
    </cfRule>
    <cfRule type="cellIs" priority="6" operator="equal" aboveAverage="0" equalAverage="0" bottom="0" percent="0" rank="0" text="" dxfId="16">
      <formula>"unknown"</formula>
    </cfRule>
  </conditionalFormatting>
  <dataValidations count="1">
    <dataValidation allowBlank="false" error="Choose one of: unknown, pass, partial, fail, na" errorStyle="stop" errorTitle="Invalid result" operator="between" showDropDown="false" showErrorMessage="false" showInputMessage="false" sqref="N3:N12" type="list">
      <formula1>"unknown,pass,partial,fail,na"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6"/>
    <col collapsed="false" customWidth="true" hidden="false" outlineLevel="0" max="3" min="3" style="0" width="10"/>
    <col collapsed="false" customWidth="true" hidden="false" outlineLevel="0" max="4" min="4" style="0" width="13"/>
    <col collapsed="false" customWidth="true" hidden="false" outlineLevel="0" max="5" min="5" style="0" width="22"/>
    <col collapsed="false" customWidth="true" hidden="false" outlineLevel="0" max="7" min="6" style="0" width="62"/>
    <col collapsed="false" customWidth="true" hidden="false" outlineLevel="0" max="8" min="8" style="0" width="26"/>
    <col collapsed="false" customWidth="true" hidden="false" outlineLevel="0" max="9" min="9" style="0" width="52"/>
    <col collapsed="false" customWidth="true" hidden="false" outlineLevel="0" max="10" min="10" style="0" width="58"/>
    <col collapsed="false" customWidth="true" hidden="false" outlineLevel="0" max="11" min="11" style="0" width="50"/>
    <col collapsed="false" customWidth="true" hidden="false" outlineLevel="0" max="12" min="12" style="0" width="30"/>
    <col collapsed="false" customWidth="true" hidden="false" outlineLevel="0" max="14" min="13" style="0" width="11"/>
    <col collapsed="false" customWidth="true" hidden="false" outlineLevel="0" max="15" min="15" style="0" width="26"/>
    <col collapsed="false" customWidth="true" hidden="false" outlineLevel="0" max="16" min="16" style="0" width="16"/>
    <col collapsed="false" customWidth="true" hidden="false" outlineLevel="0" max="17" min="17" style="0" width="12"/>
    <col collapsed="false" customWidth="true" hidden="false" outlineLevel="0" max="18" min="18" style="0" width="30"/>
    <col collapsed="false" customWidth="true" hidden="true" outlineLevel="0" max="20" min="20" style="0" width="13"/>
  </cols>
  <sheetData>
    <row r="1" customFormat="false" ht="17.35" hidden="false" customHeight="false" outlineLevel="0" collapsed="false">
      <c r="A1" s="9" t="s">
        <v>540</v>
      </c>
      <c r="B1" s="9"/>
      <c r="C1" s="9"/>
      <c r="D1" s="9"/>
      <c r="E1" s="9"/>
      <c r="F1" s="9"/>
      <c r="G1" s="9"/>
      <c r="H1" s="9"/>
      <c r="J1" s="10" t="s">
        <v>88</v>
      </c>
    </row>
    <row r="2" customFormat="false" ht="30" hidden="false" customHeight="true" outlineLevel="0" collapsed="false">
      <c r="A2" s="11" t="s">
        <v>89</v>
      </c>
      <c r="B2" s="11" t="s">
        <v>90</v>
      </c>
      <c r="C2" s="11" t="s">
        <v>91</v>
      </c>
      <c r="D2" s="11" t="s">
        <v>92</v>
      </c>
      <c r="E2" s="11" t="s">
        <v>93</v>
      </c>
      <c r="F2" s="11" t="s">
        <v>94</v>
      </c>
      <c r="G2" s="11" t="s">
        <v>95</v>
      </c>
      <c r="H2" s="11" t="s">
        <v>96</v>
      </c>
      <c r="I2" s="11" t="s">
        <v>97</v>
      </c>
      <c r="J2" s="11" t="s">
        <v>98</v>
      </c>
      <c r="K2" s="11" t="s">
        <v>99</v>
      </c>
      <c r="L2" s="11" t="s">
        <v>100</v>
      </c>
      <c r="M2" s="11" t="s">
        <v>101</v>
      </c>
      <c r="N2" s="11" t="s">
        <v>102</v>
      </c>
      <c r="O2" s="11" t="s">
        <v>103</v>
      </c>
      <c r="P2" s="11" t="s">
        <v>104</v>
      </c>
      <c r="Q2" s="11" t="s">
        <v>105</v>
      </c>
      <c r="R2" s="11" t="s">
        <v>106</v>
      </c>
      <c r="T2" s="10" t="s">
        <v>107</v>
      </c>
    </row>
    <row r="3" customFormat="false" ht="61.5" hidden="false" customHeight="true" outlineLevel="0" collapsed="false">
      <c r="A3" s="12" t="s">
        <v>541</v>
      </c>
      <c r="B3" s="13" t="s">
        <v>542</v>
      </c>
      <c r="C3" s="17" t="s">
        <v>39</v>
      </c>
      <c r="D3" s="13" t="s">
        <v>283</v>
      </c>
      <c r="E3" s="13" t="s">
        <v>111</v>
      </c>
      <c r="F3" s="13" t="s">
        <v>543</v>
      </c>
      <c r="G3" s="13" t="s">
        <v>544</v>
      </c>
      <c r="H3" s="13"/>
      <c r="I3" s="13" t="s">
        <v>545</v>
      </c>
      <c r="J3" s="13" t="s">
        <v>546</v>
      </c>
      <c r="K3" s="13" t="s">
        <v>547</v>
      </c>
      <c r="L3" s="13" t="s">
        <v>548</v>
      </c>
      <c r="M3" s="13" t="s">
        <v>48</v>
      </c>
      <c r="N3" s="15" t="s">
        <v>34</v>
      </c>
      <c r="O3" s="15"/>
      <c r="P3" s="15"/>
      <c r="Q3" s="15"/>
      <c r="R3" s="15"/>
      <c r="T3" s="0" t="n">
        <v>8</v>
      </c>
    </row>
    <row r="4" customFormat="false" ht="61.5" hidden="false" customHeight="true" outlineLevel="0" collapsed="false">
      <c r="A4" s="12" t="s">
        <v>549</v>
      </c>
      <c r="B4" s="13" t="s">
        <v>550</v>
      </c>
      <c r="C4" s="17" t="s">
        <v>39</v>
      </c>
      <c r="D4" s="13" t="s">
        <v>192</v>
      </c>
      <c r="E4" s="13" t="s">
        <v>111</v>
      </c>
      <c r="F4" s="13" t="s">
        <v>551</v>
      </c>
      <c r="G4" s="13" t="s">
        <v>552</v>
      </c>
      <c r="H4" s="13" t="s">
        <v>553</v>
      </c>
      <c r="I4" s="13" t="s">
        <v>554</v>
      </c>
      <c r="J4" s="13" t="s">
        <v>555</v>
      </c>
      <c r="K4" s="13" t="s">
        <v>556</v>
      </c>
      <c r="L4" s="13" t="s">
        <v>557</v>
      </c>
      <c r="M4" s="13" t="s">
        <v>48</v>
      </c>
      <c r="N4" s="15" t="s">
        <v>34</v>
      </c>
      <c r="O4" s="15"/>
      <c r="P4" s="15"/>
      <c r="Q4" s="15"/>
      <c r="R4" s="15"/>
      <c r="T4" s="0" t="n">
        <v>8</v>
      </c>
    </row>
    <row r="5" customFormat="false" ht="61.5" hidden="false" customHeight="true" outlineLevel="0" collapsed="false">
      <c r="A5" s="12" t="s">
        <v>558</v>
      </c>
      <c r="B5" s="13" t="s">
        <v>559</v>
      </c>
      <c r="C5" s="16" t="s">
        <v>41</v>
      </c>
      <c r="D5" s="13" t="s">
        <v>283</v>
      </c>
      <c r="E5" s="13" t="s">
        <v>111</v>
      </c>
      <c r="F5" s="13" t="s">
        <v>560</v>
      </c>
      <c r="G5" s="13" t="s">
        <v>561</v>
      </c>
      <c r="H5" s="13"/>
      <c r="I5" s="13" t="s">
        <v>562</v>
      </c>
      <c r="J5" s="13" t="s">
        <v>563</v>
      </c>
      <c r="K5" s="13" t="s">
        <v>564</v>
      </c>
      <c r="L5" s="13" t="s">
        <v>480</v>
      </c>
      <c r="M5" s="13" t="s">
        <v>48</v>
      </c>
      <c r="N5" s="15" t="s">
        <v>34</v>
      </c>
      <c r="O5" s="15"/>
      <c r="P5" s="15"/>
      <c r="Q5" s="15"/>
      <c r="R5" s="15"/>
      <c r="T5" s="0" t="n">
        <v>5</v>
      </c>
    </row>
    <row r="6" customFormat="false" ht="61.5" hidden="false" customHeight="true" outlineLevel="0" collapsed="false">
      <c r="A6" s="12" t="s">
        <v>565</v>
      </c>
      <c r="B6" s="13" t="s">
        <v>566</v>
      </c>
      <c r="C6" s="16" t="s">
        <v>41</v>
      </c>
      <c r="D6" s="13" t="s">
        <v>283</v>
      </c>
      <c r="E6" s="13" t="s">
        <v>111</v>
      </c>
      <c r="F6" s="13" t="s">
        <v>567</v>
      </c>
      <c r="G6" s="13" t="s">
        <v>568</v>
      </c>
      <c r="H6" s="13"/>
      <c r="I6" s="13" t="s">
        <v>569</v>
      </c>
      <c r="J6" s="13" t="s">
        <v>570</v>
      </c>
      <c r="K6" s="13" t="s">
        <v>571</v>
      </c>
      <c r="L6" s="13" t="s">
        <v>364</v>
      </c>
      <c r="M6" s="13" t="s">
        <v>48</v>
      </c>
      <c r="N6" s="15" t="s">
        <v>34</v>
      </c>
      <c r="O6" s="15"/>
      <c r="P6" s="15"/>
      <c r="Q6" s="15"/>
      <c r="R6" s="15"/>
      <c r="T6" s="0" t="n">
        <v>5</v>
      </c>
    </row>
    <row r="7" customFormat="false" ht="61.5" hidden="false" customHeight="true" outlineLevel="0" collapsed="false">
      <c r="A7" s="12" t="s">
        <v>572</v>
      </c>
      <c r="B7" s="13" t="s">
        <v>573</v>
      </c>
      <c r="C7" s="16" t="s">
        <v>41</v>
      </c>
      <c r="D7" s="13" t="s">
        <v>283</v>
      </c>
      <c r="E7" s="13" t="s">
        <v>140</v>
      </c>
      <c r="F7" s="13" t="s">
        <v>574</v>
      </c>
      <c r="G7" s="13" t="s">
        <v>575</v>
      </c>
      <c r="H7" s="13"/>
      <c r="I7" s="13" t="s">
        <v>576</v>
      </c>
      <c r="J7" s="13" t="s">
        <v>577</v>
      </c>
      <c r="K7" s="13" t="s">
        <v>578</v>
      </c>
      <c r="L7" s="13" t="s">
        <v>532</v>
      </c>
      <c r="M7" s="13" t="s">
        <v>48</v>
      </c>
      <c r="N7" s="15" t="s">
        <v>34</v>
      </c>
      <c r="O7" s="15"/>
      <c r="P7" s="15"/>
      <c r="Q7" s="15"/>
      <c r="R7" s="15"/>
      <c r="T7" s="0" t="n">
        <v>5</v>
      </c>
    </row>
    <row r="8" customFormat="false" ht="61.5" hidden="false" customHeight="true" outlineLevel="0" collapsed="false">
      <c r="A8" s="12" t="s">
        <v>579</v>
      </c>
      <c r="B8" s="13" t="s">
        <v>580</v>
      </c>
      <c r="C8" s="14" t="s">
        <v>37</v>
      </c>
      <c r="D8" s="13" t="s">
        <v>110</v>
      </c>
      <c r="E8" s="13" t="s">
        <v>111</v>
      </c>
      <c r="F8" s="13" t="s">
        <v>581</v>
      </c>
      <c r="G8" s="13" t="s">
        <v>582</v>
      </c>
      <c r="H8" s="13"/>
      <c r="I8" s="13" t="s">
        <v>583</v>
      </c>
      <c r="J8" s="13" t="s">
        <v>584</v>
      </c>
      <c r="K8" s="13" t="s">
        <v>585</v>
      </c>
      <c r="L8" s="13" t="s">
        <v>586</v>
      </c>
      <c r="M8" s="13" t="s">
        <v>48</v>
      </c>
      <c r="N8" s="15" t="s">
        <v>34</v>
      </c>
      <c r="O8" s="15"/>
      <c r="P8" s="15"/>
      <c r="Q8" s="15"/>
      <c r="R8" s="15"/>
      <c r="T8" s="0" t="n">
        <v>13</v>
      </c>
    </row>
    <row r="9" customFormat="false" ht="61.5" hidden="false" customHeight="true" outlineLevel="0" collapsed="false">
      <c r="A9" s="12" t="s">
        <v>587</v>
      </c>
      <c r="B9" s="13" t="s">
        <v>588</v>
      </c>
      <c r="C9" s="19" t="s">
        <v>43</v>
      </c>
      <c r="D9" s="13" t="s">
        <v>129</v>
      </c>
      <c r="E9" s="13" t="s">
        <v>111</v>
      </c>
      <c r="F9" s="13" t="s">
        <v>589</v>
      </c>
      <c r="G9" s="13" t="s">
        <v>590</v>
      </c>
      <c r="H9" s="13" t="s">
        <v>591</v>
      </c>
      <c r="I9" s="13" t="s">
        <v>592</v>
      </c>
      <c r="J9" s="13" t="s">
        <v>593</v>
      </c>
      <c r="K9" s="13" t="s">
        <v>594</v>
      </c>
      <c r="L9" s="13" t="s">
        <v>380</v>
      </c>
      <c r="M9" s="13" t="s">
        <v>48</v>
      </c>
      <c r="N9" s="15" t="s">
        <v>34</v>
      </c>
      <c r="O9" s="15"/>
      <c r="P9" s="15"/>
      <c r="Q9" s="15"/>
      <c r="R9" s="15"/>
      <c r="T9" s="0" t="n">
        <v>3</v>
      </c>
    </row>
    <row r="10" customFormat="false" ht="61.5" hidden="false" customHeight="true" outlineLevel="0" collapsed="false">
      <c r="A10" s="12" t="s">
        <v>595</v>
      </c>
      <c r="B10" s="13" t="s">
        <v>596</v>
      </c>
      <c r="C10" s="19" t="s">
        <v>43</v>
      </c>
      <c r="D10" s="13" t="s">
        <v>283</v>
      </c>
      <c r="E10" s="13" t="s">
        <v>140</v>
      </c>
      <c r="F10" s="13" t="s">
        <v>597</v>
      </c>
      <c r="G10" s="13" t="s">
        <v>598</v>
      </c>
      <c r="H10" s="13"/>
      <c r="I10" s="13" t="s">
        <v>599</v>
      </c>
      <c r="J10" s="13" t="s">
        <v>600</v>
      </c>
      <c r="K10" s="13" t="s">
        <v>601</v>
      </c>
      <c r="L10" s="13" t="s">
        <v>602</v>
      </c>
      <c r="M10" s="13" t="s">
        <v>48</v>
      </c>
      <c r="N10" s="15" t="s">
        <v>34</v>
      </c>
      <c r="O10" s="15"/>
      <c r="P10" s="15"/>
      <c r="Q10" s="15"/>
      <c r="R10" s="15"/>
      <c r="T10" s="0" t="n">
        <v>3</v>
      </c>
    </row>
    <row r="11" customFormat="false" ht="61.5" hidden="false" customHeight="true" outlineLevel="0" collapsed="false">
      <c r="A11" s="12" t="s">
        <v>603</v>
      </c>
      <c r="B11" s="13" t="s">
        <v>604</v>
      </c>
      <c r="C11" s="19" t="s">
        <v>43</v>
      </c>
      <c r="D11" s="13" t="s">
        <v>343</v>
      </c>
      <c r="E11" s="13" t="s">
        <v>140</v>
      </c>
      <c r="F11" s="13" t="s">
        <v>605</v>
      </c>
      <c r="G11" s="13" t="s">
        <v>606</v>
      </c>
      <c r="H11" s="13"/>
      <c r="I11" s="13" t="s">
        <v>607</v>
      </c>
      <c r="J11" s="13" t="s">
        <v>608</v>
      </c>
      <c r="K11" s="13" t="s">
        <v>609</v>
      </c>
      <c r="L11" s="13" t="s">
        <v>480</v>
      </c>
      <c r="M11" s="13" t="s">
        <v>48</v>
      </c>
      <c r="N11" s="15" t="s">
        <v>34</v>
      </c>
      <c r="O11" s="15"/>
      <c r="P11" s="15"/>
      <c r="Q11" s="15"/>
      <c r="R11" s="15"/>
      <c r="T11" s="0" t="n">
        <v>3</v>
      </c>
    </row>
    <row r="12" customFormat="false" ht="61.5" hidden="false" customHeight="true" outlineLevel="0" collapsed="false">
      <c r="A12" s="12" t="s">
        <v>610</v>
      </c>
      <c r="B12" s="13" t="s">
        <v>611</v>
      </c>
      <c r="C12" s="19" t="s">
        <v>43</v>
      </c>
      <c r="D12" s="13" t="s">
        <v>283</v>
      </c>
      <c r="E12" s="13" t="s">
        <v>111</v>
      </c>
      <c r="F12" s="13" t="s">
        <v>612</v>
      </c>
      <c r="G12" s="13" t="s">
        <v>613</v>
      </c>
      <c r="H12" s="13"/>
      <c r="I12" s="13" t="s">
        <v>614</v>
      </c>
      <c r="J12" s="13" t="s">
        <v>615</v>
      </c>
      <c r="K12" s="13" t="s">
        <v>616</v>
      </c>
      <c r="L12" s="13" t="s">
        <v>480</v>
      </c>
      <c r="M12" s="13" t="s">
        <v>48</v>
      </c>
      <c r="N12" s="15" t="s">
        <v>34</v>
      </c>
      <c r="O12" s="15"/>
      <c r="P12" s="15"/>
      <c r="Q12" s="15"/>
      <c r="R12" s="15"/>
      <c r="T12" s="0" t="n">
        <v>3</v>
      </c>
    </row>
  </sheetData>
  <autoFilter ref="A2:R12"/>
  <mergeCells count="1">
    <mergeCell ref="A1:H1"/>
  </mergeCells>
  <conditionalFormatting sqref="N3:N12">
    <cfRule type="cellIs" priority="2" operator="equal" aboveAverage="0" equalAverage="0" bottom="0" percent="0" rank="0" text="" dxfId="12">
      <formula>"pass"</formula>
    </cfRule>
    <cfRule type="cellIs" priority="3" operator="equal" aboveAverage="0" equalAverage="0" bottom="0" percent="0" rank="0" text="" dxfId="13">
      <formula>"partial"</formula>
    </cfRule>
    <cfRule type="cellIs" priority="4" operator="equal" aboveAverage="0" equalAverage="0" bottom="0" percent="0" rank="0" text="" dxfId="14">
      <formula>"fail"</formula>
    </cfRule>
    <cfRule type="cellIs" priority="5" operator="equal" aboveAverage="0" equalAverage="0" bottom="0" percent="0" rank="0" text="" dxfId="15">
      <formula>"na"</formula>
    </cfRule>
    <cfRule type="cellIs" priority="6" operator="equal" aboveAverage="0" equalAverage="0" bottom="0" percent="0" rank="0" text="" dxfId="16">
      <formula>"unknown"</formula>
    </cfRule>
  </conditionalFormatting>
  <dataValidations count="1">
    <dataValidation allowBlank="false" error="Choose one of: unknown, pass, partial, fail, na" errorStyle="stop" errorTitle="Invalid result" operator="between" showDropDown="false" showErrorMessage="false" showInputMessage="false" sqref="N3:N12" type="list">
      <formula1>"unknown,pass,partial,fail,na"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6"/>
    <col collapsed="false" customWidth="true" hidden="false" outlineLevel="0" max="3" min="3" style="0" width="10"/>
    <col collapsed="false" customWidth="true" hidden="false" outlineLevel="0" max="4" min="4" style="0" width="13"/>
    <col collapsed="false" customWidth="true" hidden="false" outlineLevel="0" max="5" min="5" style="0" width="22"/>
    <col collapsed="false" customWidth="true" hidden="false" outlineLevel="0" max="7" min="6" style="0" width="62"/>
    <col collapsed="false" customWidth="true" hidden="false" outlineLevel="0" max="8" min="8" style="0" width="26"/>
    <col collapsed="false" customWidth="true" hidden="false" outlineLevel="0" max="9" min="9" style="0" width="52"/>
    <col collapsed="false" customWidth="true" hidden="false" outlineLevel="0" max="10" min="10" style="0" width="58"/>
    <col collapsed="false" customWidth="true" hidden="false" outlineLevel="0" max="11" min="11" style="0" width="50"/>
    <col collapsed="false" customWidth="true" hidden="false" outlineLevel="0" max="12" min="12" style="0" width="30"/>
    <col collapsed="false" customWidth="true" hidden="false" outlineLevel="0" max="14" min="13" style="0" width="11"/>
    <col collapsed="false" customWidth="true" hidden="false" outlineLevel="0" max="15" min="15" style="0" width="26"/>
    <col collapsed="false" customWidth="true" hidden="false" outlineLevel="0" max="16" min="16" style="0" width="16"/>
    <col collapsed="false" customWidth="true" hidden="false" outlineLevel="0" max="17" min="17" style="0" width="12"/>
    <col collapsed="false" customWidth="true" hidden="false" outlineLevel="0" max="18" min="18" style="0" width="30"/>
    <col collapsed="false" customWidth="true" hidden="true" outlineLevel="0" max="20" min="20" style="0" width="13"/>
  </cols>
  <sheetData>
    <row r="1" customFormat="false" ht="17.35" hidden="false" customHeight="false" outlineLevel="0" collapsed="false">
      <c r="A1" s="9" t="s">
        <v>617</v>
      </c>
      <c r="B1" s="9"/>
      <c r="C1" s="9"/>
      <c r="D1" s="9"/>
      <c r="E1" s="9"/>
      <c r="F1" s="9"/>
      <c r="G1" s="9"/>
      <c r="H1" s="9"/>
      <c r="J1" s="10" t="s">
        <v>88</v>
      </c>
    </row>
    <row r="2" customFormat="false" ht="30" hidden="false" customHeight="true" outlineLevel="0" collapsed="false">
      <c r="A2" s="11" t="s">
        <v>89</v>
      </c>
      <c r="B2" s="11" t="s">
        <v>90</v>
      </c>
      <c r="C2" s="11" t="s">
        <v>91</v>
      </c>
      <c r="D2" s="11" t="s">
        <v>92</v>
      </c>
      <c r="E2" s="11" t="s">
        <v>93</v>
      </c>
      <c r="F2" s="11" t="s">
        <v>94</v>
      </c>
      <c r="G2" s="11" t="s">
        <v>95</v>
      </c>
      <c r="H2" s="11" t="s">
        <v>96</v>
      </c>
      <c r="I2" s="11" t="s">
        <v>97</v>
      </c>
      <c r="J2" s="11" t="s">
        <v>98</v>
      </c>
      <c r="K2" s="11" t="s">
        <v>99</v>
      </c>
      <c r="L2" s="11" t="s">
        <v>100</v>
      </c>
      <c r="M2" s="11" t="s">
        <v>101</v>
      </c>
      <c r="N2" s="11" t="s">
        <v>102</v>
      </c>
      <c r="O2" s="11" t="s">
        <v>103</v>
      </c>
      <c r="P2" s="11" t="s">
        <v>104</v>
      </c>
      <c r="Q2" s="11" t="s">
        <v>105</v>
      </c>
      <c r="R2" s="11" t="s">
        <v>106</v>
      </c>
      <c r="T2" s="10" t="s">
        <v>107</v>
      </c>
    </row>
    <row r="3" customFormat="false" ht="61.5" hidden="false" customHeight="true" outlineLevel="0" collapsed="false">
      <c r="A3" s="12" t="s">
        <v>618</v>
      </c>
      <c r="B3" s="13" t="s">
        <v>619</v>
      </c>
      <c r="C3" s="17" t="s">
        <v>39</v>
      </c>
      <c r="D3" s="13" t="s">
        <v>343</v>
      </c>
      <c r="E3" s="13" t="s">
        <v>111</v>
      </c>
      <c r="F3" s="13" t="s">
        <v>620</v>
      </c>
      <c r="G3" s="13" t="s">
        <v>621</v>
      </c>
      <c r="H3" s="13"/>
      <c r="I3" s="13" t="s">
        <v>622</v>
      </c>
      <c r="J3" s="13" t="s">
        <v>623</v>
      </c>
      <c r="K3" s="13" t="s">
        <v>624</v>
      </c>
      <c r="L3" s="13" t="s">
        <v>625</v>
      </c>
      <c r="M3" s="13" t="s">
        <v>48</v>
      </c>
      <c r="N3" s="15" t="s">
        <v>34</v>
      </c>
      <c r="O3" s="15"/>
      <c r="P3" s="15"/>
      <c r="Q3" s="15"/>
      <c r="R3" s="15"/>
      <c r="T3" s="0" t="n">
        <v>8</v>
      </c>
    </row>
    <row r="4" customFormat="false" ht="61.5" hidden="false" customHeight="true" outlineLevel="0" collapsed="false">
      <c r="A4" s="12" t="s">
        <v>626</v>
      </c>
      <c r="B4" s="13" t="s">
        <v>627</v>
      </c>
      <c r="C4" s="16" t="s">
        <v>41</v>
      </c>
      <c r="D4" s="13" t="s">
        <v>343</v>
      </c>
      <c r="E4" s="13" t="s">
        <v>111</v>
      </c>
      <c r="F4" s="13" t="s">
        <v>628</v>
      </c>
      <c r="G4" s="13" t="s">
        <v>629</v>
      </c>
      <c r="H4" s="13"/>
      <c r="I4" s="13" t="s">
        <v>630</v>
      </c>
      <c r="J4" s="13" t="s">
        <v>631</v>
      </c>
      <c r="K4" s="13" t="s">
        <v>632</v>
      </c>
      <c r="L4" s="13" t="s">
        <v>380</v>
      </c>
      <c r="M4" s="13" t="s">
        <v>48</v>
      </c>
      <c r="N4" s="15" t="s">
        <v>34</v>
      </c>
      <c r="O4" s="15"/>
      <c r="P4" s="15"/>
      <c r="Q4" s="15"/>
      <c r="R4" s="15"/>
      <c r="T4" s="0" t="n">
        <v>5</v>
      </c>
    </row>
    <row r="5" customFormat="false" ht="61.5" hidden="false" customHeight="true" outlineLevel="0" collapsed="false">
      <c r="A5" s="12" t="s">
        <v>633</v>
      </c>
      <c r="B5" s="13" t="s">
        <v>634</v>
      </c>
      <c r="C5" s="16" t="s">
        <v>41</v>
      </c>
      <c r="D5" s="13" t="s">
        <v>343</v>
      </c>
      <c r="E5" s="13" t="s">
        <v>140</v>
      </c>
      <c r="F5" s="13" t="s">
        <v>635</v>
      </c>
      <c r="G5" s="13" t="s">
        <v>636</v>
      </c>
      <c r="H5" s="13"/>
      <c r="I5" s="13" t="s">
        <v>637</v>
      </c>
      <c r="J5" s="13" t="s">
        <v>638</v>
      </c>
      <c r="K5" s="13" t="s">
        <v>639</v>
      </c>
      <c r="L5" s="13" t="s">
        <v>380</v>
      </c>
      <c r="M5" s="13" t="s">
        <v>48</v>
      </c>
      <c r="N5" s="15" t="s">
        <v>34</v>
      </c>
      <c r="O5" s="15"/>
      <c r="P5" s="15"/>
      <c r="Q5" s="15"/>
      <c r="R5" s="15"/>
      <c r="T5" s="0" t="n">
        <v>5</v>
      </c>
    </row>
    <row r="6" customFormat="false" ht="61.5" hidden="false" customHeight="true" outlineLevel="0" collapsed="false">
      <c r="A6" s="12" t="s">
        <v>640</v>
      </c>
      <c r="B6" s="13" t="s">
        <v>641</v>
      </c>
      <c r="C6" s="16" t="s">
        <v>41</v>
      </c>
      <c r="D6" s="13" t="s">
        <v>343</v>
      </c>
      <c r="E6" s="13" t="s">
        <v>111</v>
      </c>
      <c r="F6" s="13" t="s">
        <v>642</v>
      </c>
      <c r="G6" s="13" t="s">
        <v>643</v>
      </c>
      <c r="H6" s="13"/>
      <c r="I6" s="13" t="s">
        <v>644</v>
      </c>
      <c r="J6" s="13" t="s">
        <v>645</v>
      </c>
      <c r="K6" s="13" t="s">
        <v>646</v>
      </c>
      <c r="L6" s="13" t="s">
        <v>380</v>
      </c>
      <c r="M6" s="13" t="s">
        <v>48</v>
      </c>
      <c r="N6" s="15" t="s">
        <v>34</v>
      </c>
      <c r="O6" s="15"/>
      <c r="P6" s="15"/>
      <c r="Q6" s="15"/>
      <c r="R6" s="15"/>
      <c r="T6" s="0" t="n">
        <v>5</v>
      </c>
    </row>
    <row r="7" customFormat="false" ht="61.5" hidden="false" customHeight="true" outlineLevel="0" collapsed="false">
      <c r="A7" s="12" t="s">
        <v>647</v>
      </c>
      <c r="B7" s="13" t="s">
        <v>648</v>
      </c>
      <c r="C7" s="17" t="s">
        <v>39</v>
      </c>
      <c r="D7" s="13" t="s">
        <v>343</v>
      </c>
      <c r="E7" s="13" t="s">
        <v>111</v>
      </c>
      <c r="F7" s="13" t="s">
        <v>649</v>
      </c>
      <c r="G7" s="13" t="s">
        <v>650</v>
      </c>
      <c r="H7" s="13"/>
      <c r="I7" s="13" t="s">
        <v>651</v>
      </c>
      <c r="J7" s="13" t="s">
        <v>652</v>
      </c>
      <c r="K7" s="13" t="s">
        <v>653</v>
      </c>
      <c r="L7" s="13" t="s">
        <v>380</v>
      </c>
      <c r="M7" s="13" t="s">
        <v>48</v>
      </c>
      <c r="N7" s="15" t="s">
        <v>34</v>
      </c>
      <c r="O7" s="15"/>
      <c r="P7" s="15"/>
      <c r="Q7" s="15"/>
      <c r="R7" s="15"/>
      <c r="T7" s="0" t="n">
        <v>8</v>
      </c>
    </row>
    <row r="8" customFormat="false" ht="61.5" hidden="false" customHeight="true" outlineLevel="0" collapsed="false">
      <c r="A8" s="12" t="s">
        <v>654</v>
      </c>
      <c r="B8" s="13" t="s">
        <v>655</v>
      </c>
      <c r="C8" s="17" t="s">
        <v>39</v>
      </c>
      <c r="D8" s="13" t="s">
        <v>511</v>
      </c>
      <c r="E8" s="13" t="s">
        <v>111</v>
      </c>
      <c r="F8" s="13" t="s">
        <v>656</v>
      </c>
      <c r="G8" s="13" t="s">
        <v>657</v>
      </c>
      <c r="H8" s="13"/>
      <c r="I8" s="13" t="s">
        <v>658</v>
      </c>
      <c r="J8" s="13" t="s">
        <v>659</v>
      </c>
      <c r="K8" s="13" t="s">
        <v>660</v>
      </c>
      <c r="L8" s="13" t="s">
        <v>472</v>
      </c>
      <c r="M8" s="13" t="s">
        <v>48</v>
      </c>
      <c r="N8" s="15" t="s">
        <v>34</v>
      </c>
      <c r="O8" s="15"/>
      <c r="P8" s="15"/>
      <c r="Q8" s="15"/>
      <c r="R8" s="15"/>
      <c r="T8" s="0" t="n">
        <v>8</v>
      </c>
    </row>
    <row r="9" customFormat="false" ht="61.5" hidden="false" customHeight="true" outlineLevel="0" collapsed="false">
      <c r="A9" s="12" t="s">
        <v>661</v>
      </c>
      <c r="B9" s="13" t="s">
        <v>662</v>
      </c>
      <c r="C9" s="16" t="s">
        <v>41</v>
      </c>
      <c r="D9" s="13" t="s">
        <v>343</v>
      </c>
      <c r="E9" s="13" t="s">
        <v>111</v>
      </c>
      <c r="F9" s="13" t="s">
        <v>663</v>
      </c>
      <c r="G9" s="13" t="s">
        <v>664</v>
      </c>
      <c r="H9" s="13"/>
      <c r="I9" s="13" t="s">
        <v>665</v>
      </c>
      <c r="J9" s="13" t="s">
        <v>666</v>
      </c>
      <c r="K9" s="13" t="s">
        <v>667</v>
      </c>
      <c r="L9" s="13" t="s">
        <v>480</v>
      </c>
      <c r="M9" s="13" t="s">
        <v>48</v>
      </c>
      <c r="N9" s="15" t="s">
        <v>34</v>
      </c>
      <c r="O9" s="15"/>
      <c r="P9" s="15"/>
      <c r="Q9" s="15"/>
      <c r="R9" s="15"/>
      <c r="T9" s="0" t="n">
        <v>5</v>
      </c>
    </row>
    <row r="10" customFormat="false" ht="61.5" hidden="false" customHeight="true" outlineLevel="0" collapsed="false">
      <c r="A10" s="12" t="s">
        <v>668</v>
      </c>
      <c r="B10" s="13" t="s">
        <v>669</v>
      </c>
      <c r="C10" s="19" t="s">
        <v>43</v>
      </c>
      <c r="D10" s="13" t="s">
        <v>343</v>
      </c>
      <c r="E10" s="13" t="s">
        <v>140</v>
      </c>
      <c r="F10" s="13" t="s">
        <v>670</v>
      </c>
      <c r="G10" s="13" t="s">
        <v>671</v>
      </c>
      <c r="H10" s="13"/>
      <c r="I10" s="13" t="s">
        <v>672</v>
      </c>
      <c r="J10" s="13" t="s">
        <v>673</v>
      </c>
      <c r="K10" s="13" t="s">
        <v>674</v>
      </c>
      <c r="L10" s="13" t="s">
        <v>480</v>
      </c>
      <c r="M10" s="13" t="s">
        <v>48</v>
      </c>
      <c r="N10" s="15" t="s">
        <v>34</v>
      </c>
      <c r="O10" s="15"/>
      <c r="P10" s="15"/>
      <c r="Q10" s="15"/>
      <c r="R10" s="15"/>
      <c r="T10" s="0" t="n">
        <v>3</v>
      </c>
    </row>
    <row r="11" customFormat="false" ht="61.5" hidden="false" customHeight="true" outlineLevel="0" collapsed="false">
      <c r="A11" s="12" t="s">
        <v>675</v>
      </c>
      <c r="B11" s="13" t="s">
        <v>676</v>
      </c>
      <c r="C11" s="16" t="s">
        <v>41</v>
      </c>
      <c r="D11" s="13" t="s">
        <v>283</v>
      </c>
      <c r="E11" s="13" t="s">
        <v>140</v>
      </c>
      <c r="F11" s="13" t="s">
        <v>677</v>
      </c>
      <c r="G11" s="13" t="s">
        <v>678</v>
      </c>
      <c r="H11" s="13" t="s">
        <v>553</v>
      </c>
      <c r="I11" s="13" t="s">
        <v>679</v>
      </c>
      <c r="J11" s="13" t="s">
        <v>680</v>
      </c>
      <c r="K11" s="13" t="s">
        <v>681</v>
      </c>
      <c r="L11" s="13" t="s">
        <v>557</v>
      </c>
      <c r="M11" s="13" t="s">
        <v>48</v>
      </c>
      <c r="N11" s="15" t="s">
        <v>34</v>
      </c>
      <c r="O11" s="15"/>
      <c r="P11" s="15"/>
      <c r="Q11" s="15"/>
      <c r="R11" s="15"/>
      <c r="T11" s="0" t="n">
        <v>5</v>
      </c>
    </row>
    <row r="12" customFormat="false" ht="61.5" hidden="false" customHeight="true" outlineLevel="0" collapsed="false">
      <c r="A12" s="12" t="s">
        <v>682</v>
      </c>
      <c r="B12" s="13" t="s">
        <v>683</v>
      </c>
      <c r="C12" s="19" t="s">
        <v>43</v>
      </c>
      <c r="D12" s="13" t="s">
        <v>283</v>
      </c>
      <c r="E12" s="13" t="s">
        <v>140</v>
      </c>
      <c r="F12" s="13" t="s">
        <v>684</v>
      </c>
      <c r="G12" s="13" t="s">
        <v>685</v>
      </c>
      <c r="H12" s="13"/>
      <c r="I12" s="13" t="s">
        <v>686</v>
      </c>
      <c r="J12" s="13" t="s">
        <v>687</v>
      </c>
      <c r="K12" s="13" t="s">
        <v>688</v>
      </c>
      <c r="L12" s="13" t="s">
        <v>256</v>
      </c>
      <c r="M12" s="13" t="s">
        <v>48</v>
      </c>
      <c r="N12" s="15" t="s">
        <v>34</v>
      </c>
      <c r="O12" s="15"/>
      <c r="P12" s="15"/>
      <c r="Q12" s="15"/>
      <c r="R12" s="15"/>
      <c r="T12" s="0" t="n">
        <v>3</v>
      </c>
    </row>
    <row r="13" customFormat="false" ht="61.5" hidden="false" customHeight="true" outlineLevel="0" collapsed="false">
      <c r="A13" s="12" t="s">
        <v>689</v>
      </c>
      <c r="B13" s="13" t="s">
        <v>690</v>
      </c>
      <c r="C13" s="18" t="s">
        <v>45</v>
      </c>
      <c r="D13" s="13" t="s">
        <v>335</v>
      </c>
      <c r="E13" s="13" t="s">
        <v>140</v>
      </c>
      <c r="F13" s="13" t="s">
        <v>691</v>
      </c>
      <c r="G13" s="13" t="s">
        <v>692</v>
      </c>
      <c r="H13" s="13"/>
      <c r="I13" s="13" t="s">
        <v>693</v>
      </c>
      <c r="J13" s="13" t="s">
        <v>694</v>
      </c>
      <c r="K13" s="13" t="s">
        <v>695</v>
      </c>
      <c r="L13" s="13" t="s">
        <v>256</v>
      </c>
      <c r="M13" s="13" t="s">
        <v>48</v>
      </c>
      <c r="N13" s="15" t="s">
        <v>34</v>
      </c>
      <c r="O13" s="15"/>
      <c r="P13" s="15"/>
      <c r="Q13" s="15"/>
      <c r="R13" s="15"/>
      <c r="T13" s="0" t="n">
        <v>1</v>
      </c>
    </row>
    <row r="14" customFormat="false" ht="61.5" hidden="false" customHeight="true" outlineLevel="0" collapsed="false">
      <c r="A14" s="12" t="s">
        <v>696</v>
      </c>
      <c r="B14" s="13" t="s">
        <v>697</v>
      </c>
      <c r="C14" s="19" t="s">
        <v>43</v>
      </c>
      <c r="D14" s="13" t="s">
        <v>335</v>
      </c>
      <c r="E14" s="13" t="s">
        <v>140</v>
      </c>
      <c r="F14" s="13" t="s">
        <v>698</v>
      </c>
      <c r="G14" s="13" t="s">
        <v>699</v>
      </c>
      <c r="H14" s="13"/>
      <c r="I14" s="13" t="s">
        <v>700</v>
      </c>
      <c r="J14" s="13" t="s">
        <v>701</v>
      </c>
      <c r="K14" s="13" t="s">
        <v>702</v>
      </c>
      <c r="L14" s="13" t="s">
        <v>256</v>
      </c>
      <c r="M14" s="13" t="s">
        <v>48</v>
      </c>
      <c r="N14" s="15" t="s">
        <v>34</v>
      </c>
      <c r="O14" s="15"/>
      <c r="P14" s="15"/>
      <c r="Q14" s="15"/>
      <c r="R14" s="15"/>
      <c r="T14" s="0" t="n">
        <v>3</v>
      </c>
    </row>
  </sheetData>
  <autoFilter ref="A2:R14"/>
  <mergeCells count="1">
    <mergeCell ref="A1:H1"/>
  </mergeCells>
  <conditionalFormatting sqref="N3:N14">
    <cfRule type="cellIs" priority="2" operator="equal" aboveAverage="0" equalAverage="0" bottom="0" percent="0" rank="0" text="" dxfId="12">
      <formula>"pass"</formula>
    </cfRule>
    <cfRule type="cellIs" priority="3" operator="equal" aboveAverage="0" equalAverage="0" bottom="0" percent="0" rank="0" text="" dxfId="13">
      <formula>"partial"</formula>
    </cfRule>
    <cfRule type="cellIs" priority="4" operator="equal" aboveAverage="0" equalAverage="0" bottom="0" percent="0" rank="0" text="" dxfId="14">
      <formula>"fail"</formula>
    </cfRule>
    <cfRule type="cellIs" priority="5" operator="equal" aboveAverage="0" equalAverage="0" bottom="0" percent="0" rank="0" text="" dxfId="15">
      <formula>"na"</formula>
    </cfRule>
    <cfRule type="cellIs" priority="6" operator="equal" aboveAverage="0" equalAverage="0" bottom="0" percent="0" rank="0" text="" dxfId="16">
      <formula>"unknown"</formula>
    </cfRule>
  </conditionalFormatting>
  <dataValidations count="1">
    <dataValidation allowBlank="false" error="Choose one of: unknown, pass, partial, fail, na" errorStyle="stop" errorTitle="Invalid result" operator="between" showDropDown="false" showErrorMessage="false" showInputMessage="false" sqref="N3:N14" type="list">
      <formula1>"unknown,pass,partial,fail,na"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6"/>
    <col collapsed="false" customWidth="true" hidden="false" outlineLevel="0" max="3" min="3" style="0" width="10"/>
    <col collapsed="false" customWidth="true" hidden="false" outlineLevel="0" max="4" min="4" style="0" width="13"/>
    <col collapsed="false" customWidth="true" hidden="false" outlineLevel="0" max="5" min="5" style="0" width="22"/>
    <col collapsed="false" customWidth="true" hidden="false" outlineLevel="0" max="7" min="6" style="0" width="62"/>
    <col collapsed="false" customWidth="true" hidden="false" outlineLevel="0" max="8" min="8" style="0" width="26"/>
    <col collapsed="false" customWidth="true" hidden="false" outlineLevel="0" max="9" min="9" style="0" width="52"/>
    <col collapsed="false" customWidth="true" hidden="false" outlineLevel="0" max="10" min="10" style="0" width="58"/>
    <col collapsed="false" customWidth="true" hidden="false" outlineLevel="0" max="11" min="11" style="0" width="50"/>
    <col collapsed="false" customWidth="true" hidden="false" outlineLevel="0" max="12" min="12" style="0" width="30"/>
    <col collapsed="false" customWidth="true" hidden="false" outlineLevel="0" max="14" min="13" style="0" width="11"/>
    <col collapsed="false" customWidth="true" hidden="false" outlineLevel="0" max="15" min="15" style="0" width="26"/>
    <col collapsed="false" customWidth="true" hidden="false" outlineLevel="0" max="16" min="16" style="0" width="16"/>
    <col collapsed="false" customWidth="true" hidden="false" outlineLevel="0" max="17" min="17" style="0" width="12"/>
    <col collapsed="false" customWidth="true" hidden="false" outlineLevel="0" max="18" min="18" style="0" width="30"/>
    <col collapsed="false" customWidth="true" hidden="true" outlineLevel="0" max="20" min="20" style="0" width="13"/>
  </cols>
  <sheetData>
    <row r="1" customFormat="false" ht="17.35" hidden="false" customHeight="false" outlineLevel="0" collapsed="false">
      <c r="A1" s="9" t="s">
        <v>703</v>
      </c>
      <c r="B1" s="9"/>
      <c r="C1" s="9"/>
      <c r="D1" s="9"/>
      <c r="E1" s="9"/>
      <c r="F1" s="9"/>
      <c r="G1" s="9"/>
      <c r="H1" s="9"/>
      <c r="J1" s="10" t="s">
        <v>88</v>
      </c>
    </row>
    <row r="2" customFormat="false" ht="30" hidden="false" customHeight="true" outlineLevel="0" collapsed="false">
      <c r="A2" s="11" t="s">
        <v>89</v>
      </c>
      <c r="B2" s="11" t="s">
        <v>90</v>
      </c>
      <c r="C2" s="11" t="s">
        <v>91</v>
      </c>
      <c r="D2" s="11" t="s">
        <v>92</v>
      </c>
      <c r="E2" s="11" t="s">
        <v>93</v>
      </c>
      <c r="F2" s="11" t="s">
        <v>94</v>
      </c>
      <c r="G2" s="11" t="s">
        <v>95</v>
      </c>
      <c r="H2" s="11" t="s">
        <v>96</v>
      </c>
      <c r="I2" s="11" t="s">
        <v>97</v>
      </c>
      <c r="J2" s="11" t="s">
        <v>98</v>
      </c>
      <c r="K2" s="11" t="s">
        <v>99</v>
      </c>
      <c r="L2" s="11" t="s">
        <v>100</v>
      </c>
      <c r="M2" s="11" t="s">
        <v>101</v>
      </c>
      <c r="N2" s="11" t="s">
        <v>102</v>
      </c>
      <c r="O2" s="11" t="s">
        <v>103</v>
      </c>
      <c r="P2" s="11" t="s">
        <v>104</v>
      </c>
      <c r="Q2" s="11" t="s">
        <v>105</v>
      </c>
      <c r="R2" s="11" t="s">
        <v>106</v>
      </c>
      <c r="T2" s="10" t="s">
        <v>107</v>
      </c>
    </row>
    <row r="3" customFormat="false" ht="61.5" hidden="false" customHeight="true" outlineLevel="0" collapsed="false">
      <c r="A3" s="12" t="s">
        <v>704</v>
      </c>
      <c r="B3" s="13" t="s">
        <v>705</v>
      </c>
      <c r="C3" s="17" t="s">
        <v>39</v>
      </c>
      <c r="D3" s="13" t="s">
        <v>343</v>
      </c>
      <c r="E3" s="13" t="s">
        <v>111</v>
      </c>
      <c r="F3" s="13" t="s">
        <v>706</v>
      </c>
      <c r="G3" s="13" t="s">
        <v>707</v>
      </c>
      <c r="H3" s="13"/>
      <c r="I3" s="13" t="s">
        <v>708</v>
      </c>
      <c r="J3" s="13" t="s">
        <v>709</v>
      </c>
      <c r="K3" s="13" t="s">
        <v>710</v>
      </c>
      <c r="L3" s="13" t="s">
        <v>548</v>
      </c>
      <c r="M3" s="13" t="s">
        <v>48</v>
      </c>
      <c r="N3" s="15" t="s">
        <v>34</v>
      </c>
      <c r="O3" s="15"/>
      <c r="P3" s="15"/>
      <c r="Q3" s="15"/>
      <c r="R3" s="15"/>
      <c r="T3" s="0" t="n">
        <v>8</v>
      </c>
    </row>
    <row r="4" customFormat="false" ht="61.5" hidden="false" customHeight="true" outlineLevel="0" collapsed="false">
      <c r="A4" s="12" t="s">
        <v>711</v>
      </c>
      <c r="B4" s="13" t="s">
        <v>712</v>
      </c>
      <c r="C4" s="16" t="s">
        <v>41</v>
      </c>
      <c r="D4" s="13" t="s">
        <v>343</v>
      </c>
      <c r="E4" s="13" t="s">
        <v>111</v>
      </c>
      <c r="F4" s="13" t="s">
        <v>713</v>
      </c>
      <c r="G4" s="13" t="s">
        <v>714</v>
      </c>
      <c r="H4" s="13"/>
      <c r="I4" s="13" t="s">
        <v>715</v>
      </c>
      <c r="J4" s="13" t="s">
        <v>716</v>
      </c>
      <c r="K4" s="13" t="s">
        <v>717</v>
      </c>
      <c r="L4" s="13" t="s">
        <v>480</v>
      </c>
      <c r="M4" s="13" t="s">
        <v>48</v>
      </c>
      <c r="N4" s="15" t="s">
        <v>34</v>
      </c>
      <c r="O4" s="15"/>
      <c r="P4" s="15"/>
      <c r="Q4" s="15"/>
      <c r="R4" s="15"/>
      <c r="T4" s="0" t="n">
        <v>5</v>
      </c>
    </row>
    <row r="5" customFormat="false" ht="61.5" hidden="false" customHeight="true" outlineLevel="0" collapsed="false">
      <c r="A5" s="12" t="s">
        <v>718</v>
      </c>
      <c r="B5" s="13" t="s">
        <v>719</v>
      </c>
      <c r="C5" s="19" t="s">
        <v>43</v>
      </c>
      <c r="D5" s="13" t="s">
        <v>283</v>
      </c>
      <c r="E5" s="13" t="s">
        <v>140</v>
      </c>
      <c r="F5" s="13" t="s">
        <v>720</v>
      </c>
      <c r="G5" s="13" t="s">
        <v>721</v>
      </c>
      <c r="H5" s="13"/>
      <c r="I5" s="13" t="s">
        <v>722</v>
      </c>
      <c r="J5" s="13" t="s">
        <v>723</v>
      </c>
      <c r="K5" s="13" t="s">
        <v>724</v>
      </c>
      <c r="L5" s="13" t="s">
        <v>256</v>
      </c>
      <c r="M5" s="13" t="s">
        <v>48</v>
      </c>
      <c r="N5" s="15" t="s">
        <v>34</v>
      </c>
      <c r="O5" s="15"/>
      <c r="P5" s="15"/>
      <c r="Q5" s="15"/>
      <c r="R5" s="15"/>
      <c r="T5" s="0" t="n">
        <v>3</v>
      </c>
    </row>
    <row r="6" customFormat="false" ht="61.5" hidden="false" customHeight="true" outlineLevel="0" collapsed="false">
      <c r="A6" s="12" t="s">
        <v>725</v>
      </c>
      <c r="B6" s="13" t="s">
        <v>726</v>
      </c>
      <c r="C6" s="18" t="s">
        <v>45</v>
      </c>
      <c r="D6" s="13" t="s">
        <v>283</v>
      </c>
      <c r="E6" s="13" t="s">
        <v>140</v>
      </c>
      <c r="F6" s="13" t="s">
        <v>727</v>
      </c>
      <c r="G6" s="13" t="s">
        <v>728</v>
      </c>
      <c r="H6" s="13"/>
      <c r="I6" s="13" t="s">
        <v>729</v>
      </c>
      <c r="J6" s="13" t="s">
        <v>730</v>
      </c>
      <c r="K6" s="13" t="s">
        <v>731</v>
      </c>
      <c r="L6" s="13" t="s">
        <v>256</v>
      </c>
      <c r="M6" s="13" t="s">
        <v>48</v>
      </c>
      <c r="N6" s="15" t="s">
        <v>34</v>
      </c>
      <c r="O6" s="15"/>
      <c r="P6" s="15"/>
      <c r="Q6" s="15"/>
      <c r="R6" s="15"/>
      <c r="T6" s="0" t="n">
        <v>1</v>
      </c>
    </row>
    <row r="7" customFormat="false" ht="61.5" hidden="false" customHeight="true" outlineLevel="0" collapsed="false">
      <c r="A7" s="12" t="s">
        <v>732</v>
      </c>
      <c r="B7" s="13" t="s">
        <v>733</v>
      </c>
      <c r="C7" s="16" t="s">
        <v>41</v>
      </c>
      <c r="D7" s="13" t="s">
        <v>210</v>
      </c>
      <c r="E7" s="13" t="s">
        <v>111</v>
      </c>
      <c r="F7" s="13" t="s">
        <v>734</v>
      </c>
      <c r="G7" s="13" t="s">
        <v>735</v>
      </c>
      <c r="H7" s="13"/>
      <c r="I7" s="13" t="s">
        <v>736</v>
      </c>
      <c r="J7" s="13" t="s">
        <v>737</v>
      </c>
      <c r="K7" s="13" t="s">
        <v>738</v>
      </c>
      <c r="L7" s="13" t="s">
        <v>380</v>
      </c>
      <c r="M7" s="13" t="s">
        <v>48</v>
      </c>
      <c r="N7" s="15" t="s">
        <v>34</v>
      </c>
      <c r="O7" s="15"/>
      <c r="P7" s="15"/>
      <c r="Q7" s="15"/>
      <c r="R7" s="15"/>
      <c r="T7" s="0" t="n">
        <v>5</v>
      </c>
    </row>
  </sheetData>
  <autoFilter ref="A2:R7"/>
  <mergeCells count="1">
    <mergeCell ref="A1:H1"/>
  </mergeCells>
  <conditionalFormatting sqref="N3:N7">
    <cfRule type="cellIs" priority="2" operator="equal" aboveAverage="0" equalAverage="0" bottom="0" percent="0" rank="0" text="" dxfId="12">
      <formula>"pass"</formula>
    </cfRule>
    <cfRule type="cellIs" priority="3" operator="equal" aboveAverage="0" equalAverage="0" bottom="0" percent="0" rank="0" text="" dxfId="13">
      <formula>"partial"</formula>
    </cfRule>
    <cfRule type="cellIs" priority="4" operator="equal" aboveAverage="0" equalAverage="0" bottom="0" percent="0" rank="0" text="" dxfId="14">
      <formula>"fail"</formula>
    </cfRule>
    <cfRule type="cellIs" priority="5" operator="equal" aboveAverage="0" equalAverage="0" bottom="0" percent="0" rank="0" text="" dxfId="15">
      <formula>"na"</formula>
    </cfRule>
    <cfRule type="cellIs" priority="6" operator="equal" aboveAverage="0" equalAverage="0" bottom="0" percent="0" rank="0" text="" dxfId="16">
      <formula>"unknown"</formula>
    </cfRule>
  </conditionalFormatting>
  <dataValidations count="1">
    <dataValidation allowBlank="false" error="Choose one of: unknown, pass, partial, fail, na" errorStyle="stop" errorTitle="Invalid result" operator="between" showDropDown="false" showErrorMessage="false" showInputMessage="false" sqref="N3:N7" type="list">
      <formula1>"unknown,pass,partial,fail,na"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6"/>
    <col collapsed="false" customWidth="true" hidden="false" outlineLevel="0" max="3" min="3" style="0" width="10"/>
    <col collapsed="false" customWidth="true" hidden="false" outlineLevel="0" max="4" min="4" style="0" width="13"/>
    <col collapsed="false" customWidth="true" hidden="false" outlineLevel="0" max="5" min="5" style="0" width="22"/>
    <col collapsed="false" customWidth="true" hidden="false" outlineLevel="0" max="7" min="6" style="0" width="62"/>
    <col collapsed="false" customWidth="true" hidden="false" outlineLevel="0" max="8" min="8" style="0" width="26"/>
    <col collapsed="false" customWidth="true" hidden="false" outlineLevel="0" max="9" min="9" style="0" width="52"/>
    <col collapsed="false" customWidth="true" hidden="false" outlineLevel="0" max="10" min="10" style="0" width="58"/>
    <col collapsed="false" customWidth="true" hidden="false" outlineLevel="0" max="11" min="11" style="0" width="50"/>
    <col collapsed="false" customWidth="true" hidden="false" outlineLevel="0" max="12" min="12" style="0" width="30"/>
    <col collapsed="false" customWidth="true" hidden="false" outlineLevel="0" max="14" min="13" style="0" width="11"/>
    <col collapsed="false" customWidth="true" hidden="false" outlineLevel="0" max="15" min="15" style="0" width="26"/>
    <col collapsed="false" customWidth="true" hidden="false" outlineLevel="0" max="16" min="16" style="0" width="16"/>
    <col collapsed="false" customWidth="true" hidden="false" outlineLevel="0" max="17" min="17" style="0" width="12"/>
    <col collapsed="false" customWidth="true" hidden="false" outlineLevel="0" max="18" min="18" style="0" width="30"/>
    <col collapsed="false" customWidth="true" hidden="true" outlineLevel="0" max="20" min="20" style="0" width="13"/>
  </cols>
  <sheetData>
    <row r="1" customFormat="false" ht="17.35" hidden="false" customHeight="false" outlineLevel="0" collapsed="false">
      <c r="A1" s="9" t="s">
        <v>739</v>
      </c>
      <c r="B1" s="9"/>
      <c r="C1" s="9"/>
      <c r="D1" s="9"/>
      <c r="E1" s="9"/>
      <c r="F1" s="9"/>
      <c r="G1" s="9"/>
      <c r="H1" s="9"/>
      <c r="J1" s="10" t="s">
        <v>88</v>
      </c>
    </row>
    <row r="2" customFormat="false" ht="30" hidden="false" customHeight="true" outlineLevel="0" collapsed="false">
      <c r="A2" s="11" t="s">
        <v>89</v>
      </c>
      <c r="B2" s="11" t="s">
        <v>90</v>
      </c>
      <c r="C2" s="11" t="s">
        <v>91</v>
      </c>
      <c r="D2" s="11" t="s">
        <v>92</v>
      </c>
      <c r="E2" s="11" t="s">
        <v>93</v>
      </c>
      <c r="F2" s="11" t="s">
        <v>94</v>
      </c>
      <c r="G2" s="11" t="s">
        <v>95</v>
      </c>
      <c r="H2" s="11" t="s">
        <v>96</v>
      </c>
      <c r="I2" s="11" t="s">
        <v>97</v>
      </c>
      <c r="J2" s="11" t="s">
        <v>98</v>
      </c>
      <c r="K2" s="11" t="s">
        <v>99</v>
      </c>
      <c r="L2" s="11" t="s">
        <v>100</v>
      </c>
      <c r="M2" s="11" t="s">
        <v>101</v>
      </c>
      <c r="N2" s="11" t="s">
        <v>102</v>
      </c>
      <c r="O2" s="11" t="s">
        <v>103</v>
      </c>
      <c r="P2" s="11" t="s">
        <v>104</v>
      </c>
      <c r="Q2" s="11" t="s">
        <v>105</v>
      </c>
      <c r="R2" s="11" t="s">
        <v>106</v>
      </c>
      <c r="T2" s="10" t="s">
        <v>107</v>
      </c>
    </row>
    <row r="3" customFormat="false" ht="61.5" hidden="false" customHeight="true" outlineLevel="0" collapsed="false">
      <c r="A3" s="12" t="s">
        <v>740</v>
      </c>
      <c r="B3" s="13" t="s">
        <v>741</v>
      </c>
      <c r="C3" s="14" t="s">
        <v>37</v>
      </c>
      <c r="D3" s="13" t="s">
        <v>742</v>
      </c>
      <c r="E3" s="13" t="s">
        <v>111</v>
      </c>
      <c r="F3" s="13" t="s">
        <v>743</v>
      </c>
      <c r="G3" s="13" t="s">
        <v>744</v>
      </c>
      <c r="H3" s="13"/>
      <c r="I3" s="13" t="s">
        <v>745</v>
      </c>
      <c r="J3" s="13" t="s">
        <v>746</v>
      </c>
      <c r="K3" s="13" t="s">
        <v>747</v>
      </c>
      <c r="L3" s="13" t="s">
        <v>480</v>
      </c>
      <c r="M3" s="13" t="s">
        <v>48</v>
      </c>
      <c r="N3" s="15" t="s">
        <v>34</v>
      </c>
      <c r="O3" s="15"/>
      <c r="P3" s="15"/>
      <c r="Q3" s="15"/>
      <c r="R3" s="15"/>
      <c r="T3" s="0" t="n">
        <v>13</v>
      </c>
    </row>
    <row r="4" customFormat="false" ht="61.5" hidden="false" customHeight="true" outlineLevel="0" collapsed="false">
      <c r="A4" s="12" t="s">
        <v>748</v>
      </c>
      <c r="B4" s="13" t="s">
        <v>749</v>
      </c>
      <c r="C4" s="17" t="s">
        <v>39</v>
      </c>
      <c r="D4" s="13" t="s">
        <v>742</v>
      </c>
      <c r="E4" s="13" t="s">
        <v>111</v>
      </c>
      <c r="F4" s="13" t="s">
        <v>750</v>
      </c>
      <c r="G4" s="13" t="s">
        <v>751</v>
      </c>
      <c r="H4" s="13"/>
      <c r="I4" s="13" t="s">
        <v>752</v>
      </c>
      <c r="J4" s="13" t="s">
        <v>753</v>
      </c>
      <c r="K4" s="13" t="s">
        <v>754</v>
      </c>
      <c r="L4" s="13" t="s">
        <v>755</v>
      </c>
      <c r="M4" s="13" t="s">
        <v>50</v>
      </c>
      <c r="N4" s="15" t="s">
        <v>34</v>
      </c>
      <c r="O4" s="15"/>
      <c r="P4" s="15"/>
      <c r="Q4" s="15"/>
      <c r="R4" s="15"/>
      <c r="T4" s="0" t="n">
        <v>8</v>
      </c>
    </row>
    <row r="5" customFormat="false" ht="61.5" hidden="false" customHeight="true" outlineLevel="0" collapsed="false">
      <c r="A5" s="12" t="s">
        <v>756</v>
      </c>
      <c r="B5" s="13" t="s">
        <v>757</v>
      </c>
      <c r="C5" s="17" t="s">
        <v>39</v>
      </c>
      <c r="D5" s="13" t="s">
        <v>742</v>
      </c>
      <c r="E5" s="13" t="s">
        <v>140</v>
      </c>
      <c r="F5" s="13" t="s">
        <v>758</v>
      </c>
      <c r="G5" s="13" t="s">
        <v>759</v>
      </c>
      <c r="H5" s="13"/>
      <c r="I5" s="13" t="s">
        <v>760</v>
      </c>
      <c r="J5" s="13" t="s">
        <v>761</v>
      </c>
      <c r="K5" s="13" t="s">
        <v>762</v>
      </c>
      <c r="L5" s="13" t="s">
        <v>256</v>
      </c>
      <c r="M5" s="13" t="s">
        <v>48</v>
      </c>
      <c r="N5" s="15" t="s">
        <v>34</v>
      </c>
      <c r="O5" s="15"/>
      <c r="P5" s="15"/>
      <c r="Q5" s="15"/>
      <c r="R5" s="15"/>
      <c r="T5" s="0" t="n">
        <v>8</v>
      </c>
    </row>
    <row r="6" customFormat="false" ht="61.5" hidden="false" customHeight="true" outlineLevel="0" collapsed="false">
      <c r="A6" s="12" t="s">
        <v>763</v>
      </c>
      <c r="B6" s="13" t="s">
        <v>764</v>
      </c>
      <c r="C6" s="16" t="s">
        <v>41</v>
      </c>
      <c r="D6" s="13" t="s">
        <v>742</v>
      </c>
      <c r="E6" s="13" t="s">
        <v>173</v>
      </c>
      <c r="F6" s="13" t="s">
        <v>765</v>
      </c>
      <c r="G6" s="13" t="s">
        <v>766</v>
      </c>
      <c r="H6" s="13"/>
      <c r="I6" s="13" t="s">
        <v>767</v>
      </c>
      <c r="J6" s="13" t="s">
        <v>768</v>
      </c>
      <c r="K6" s="13" t="s">
        <v>769</v>
      </c>
      <c r="L6" s="13" t="s">
        <v>179</v>
      </c>
      <c r="M6" s="13" t="s">
        <v>48</v>
      </c>
      <c r="N6" s="15" t="s">
        <v>34</v>
      </c>
      <c r="O6" s="15"/>
      <c r="P6" s="15"/>
      <c r="Q6" s="15"/>
      <c r="R6" s="15"/>
      <c r="T6" s="0" t="n">
        <v>5</v>
      </c>
    </row>
    <row r="7" customFormat="false" ht="61.5" hidden="false" customHeight="true" outlineLevel="0" collapsed="false">
      <c r="A7" s="12" t="s">
        <v>770</v>
      </c>
      <c r="B7" s="13" t="s">
        <v>771</v>
      </c>
      <c r="C7" s="19" t="s">
        <v>43</v>
      </c>
      <c r="D7" s="13" t="s">
        <v>742</v>
      </c>
      <c r="E7" s="13" t="s">
        <v>173</v>
      </c>
      <c r="F7" s="13" t="s">
        <v>772</v>
      </c>
      <c r="G7" s="13" t="s">
        <v>773</v>
      </c>
      <c r="H7" s="13"/>
      <c r="I7" s="13" t="s">
        <v>774</v>
      </c>
      <c r="J7" s="13" t="s">
        <v>775</v>
      </c>
      <c r="K7" s="13" t="s">
        <v>776</v>
      </c>
      <c r="L7" s="13" t="s">
        <v>179</v>
      </c>
      <c r="M7" s="13" t="s">
        <v>48</v>
      </c>
      <c r="N7" s="15" t="s">
        <v>34</v>
      </c>
      <c r="O7" s="15"/>
      <c r="P7" s="15"/>
      <c r="Q7" s="15"/>
      <c r="R7" s="15"/>
      <c r="T7" s="0" t="n">
        <v>3</v>
      </c>
    </row>
    <row r="8" customFormat="false" ht="61.5" hidden="false" customHeight="true" outlineLevel="0" collapsed="false">
      <c r="A8" s="12" t="s">
        <v>777</v>
      </c>
      <c r="B8" s="13" t="s">
        <v>778</v>
      </c>
      <c r="C8" s="17" t="s">
        <v>39</v>
      </c>
      <c r="D8" s="13" t="s">
        <v>742</v>
      </c>
      <c r="E8" s="13" t="s">
        <v>173</v>
      </c>
      <c r="F8" s="13" t="s">
        <v>779</v>
      </c>
      <c r="G8" s="13" t="s">
        <v>780</v>
      </c>
      <c r="H8" s="13"/>
      <c r="I8" s="13" t="s">
        <v>781</v>
      </c>
      <c r="J8" s="13" t="s">
        <v>782</v>
      </c>
      <c r="K8" s="13" t="s">
        <v>783</v>
      </c>
      <c r="L8" s="13" t="s">
        <v>188</v>
      </c>
      <c r="M8" s="13" t="s">
        <v>48</v>
      </c>
      <c r="N8" s="15" t="s">
        <v>34</v>
      </c>
      <c r="O8" s="15"/>
      <c r="P8" s="15"/>
      <c r="Q8" s="15"/>
      <c r="R8" s="15"/>
      <c r="T8" s="0" t="n">
        <v>8</v>
      </c>
    </row>
    <row r="9" customFormat="false" ht="61.5" hidden="false" customHeight="true" outlineLevel="0" collapsed="false">
      <c r="A9" s="12" t="s">
        <v>784</v>
      </c>
      <c r="B9" s="13" t="s">
        <v>785</v>
      </c>
      <c r="C9" s="19" t="s">
        <v>43</v>
      </c>
      <c r="D9" s="13" t="s">
        <v>742</v>
      </c>
      <c r="E9" s="13" t="s">
        <v>111</v>
      </c>
      <c r="F9" s="13" t="s">
        <v>786</v>
      </c>
      <c r="G9" s="13" t="s">
        <v>787</v>
      </c>
      <c r="H9" s="13"/>
      <c r="I9" s="13" t="s">
        <v>788</v>
      </c>
      <c r="J9" s="13" t="s">
        <v>789</v>
      </c>
      <c r="K9" s="13" t="s">
        <v>790</v>
      </c>
      <c r="L9" s="13" t="s">
        <v>791</v>
      </c>
      <c r="M9" s="13" t="s">
        <v>50</v>
      </c>
      <c r="N9" s="15" t="s">
        <v>34</v>
      </c>
      <c r="O9" s="15"/>
      <c r="P9" s="15"/>
      <c r="Q9" s="15"/>
      <c r="R9" s="15"/>
      <c r="T9" s="0" t="n">
        <v>3</v>
      </c>
    </row>
    <row r="10" customFormat="false" ht="61.5" hidden="false" customHeight="true" outlineLevel="0" collapsed="false">
      <c r="A10" s="12" t="s">
        <v>792</v>
      </c>
      <c r="B10" s="13" t="s">
        <v>793</v>
      </c>
      <c r="C10" s="19" t="s">
        <v>43</v>
      </c>
      <c r="D10" s="13" t="s">
        <v>742</v>
      </c>
      <c r="E10" s="13" t="s">
        <v>140</v>
      </c>
      <c r="F10" s="13" t="s">
        <v>794</v>
      </c>
      <c r="G10" s="13" t="s">
        <v>795</v>
      </c>
      <c r="H10" s="13"/>
      <c r="I10" s="13" t="s">
        <v>796</v>
      </c>
      <c r="J10" s="13" t="s">
        <v>797</v>
      </c>
      <c r="K10" s="13" t="s">
        <v>798</v>
      </c>
      <c r="L10" s="13" t="s">
        <v>248</v>
      </c>
      <c r="M10" s="13" t="s">
        <v>50</v>
      </c>
      <c r="N10" s="15" t="s">
        <v>34</v>
      </c>
      <c r="O10" s="15"/>
      <c r="P10" s="15"/>
      <c r="Q10" s="15"/>
      <c r="R10" s="15"/>
      <c r="T10" s="0" t="n">
        <v>3</v>
      </c>
    </row>
  </sheetData>
  <autoFilter ref="A2:R10"/>
  <mergeCells count="1">
    <mergeCell ref="A1:H1"/>
  </mergeCells>
  <conditionalFormatting sqref="N3:N10">
    <cfRule type="cellIs" priority="2" operator="equal" aboveAverage="0" equalAverage="0" bottom="0" percent="0" rank="0" text="" dxfId="12">
      <formula>"pass"</formula>
    </cfRule>
    <cfRule type="cellIs" priority="3" operator="equal" aboveAverage="0" equalAverage="0" bottom="0" percent="0" rank="0" text="" dxfId="13">
      <formula>"partial"</formula>
    </cfRule>
    <cfRule type="cellIs" priority="4" operator="equal" aboveAverage="0" equalAverage="0" bottom="0" percent="0" rank="0" text="" dxfId="14">
      <formula>"fail"</formula>
    </cfRule>
    <cfRule type="cellIs" priority="5" operator="equal" aboveAverage="0" equalAverage="0" bottom="0" percent="0" rank="0" text="" dxfId="15">
      <formula>"na"</formula>
    </cfRule>
    <cfRule type="cellIs" priority="6" operator="equal" aboveAverage="0" equalAverage="0" bottom="0" percent="0" rank="0" text="" dxfId="16">
      <formula>"unknown"</formula>
    </cfRule>
  </conditionalFormatting>
  <dataValidations count="1">
    <dataValidation allowBlank="false" error="Choose one of: unknown, pass, partial, fail, na" errorStyle="stop" errorTitle="Invalid result" operator="between" showDropDown="false" showErrorMessage="false" showInputMessage="false" sqref="N3:N10" type="list">
      <formula1>"unknown,pass,partial,fail,na"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6"/>
    <col collapsed="false" customWidth="true" hidden="false" outlineLevel="0" max="3" min="3" style="0" width="10"/>
    <col collapsed="false" customWidth="true" hidden="false" outlineLevel="0" max="4" min="4" style="0" width="13"/>
    <col collapsed="false" customWidth="true" hidden="false" outlineLevel="0" max="5" min="5" style="0" width="22"/>
    <col collapsed="false" customWidth="true" hidden="false" outlineLevel="0" max="7" min="6" style="0" width="62"/>
    <col collapsed="false" customWidth="true" hidden="false" outlineLevel="0" max="8" min="8" style="0" width="26"/>
    <col collapsed="false" customWidth="true" hidden="false" outlineLevel="0" max="9" min="9" style="0" width="52"/>
    <col collapsed="false" customWidth="true" hidden="false" outlineLevel="0" max="10" min="10" style="0" width="58"/>
    <col collapsed="false" customWidth="true" hidden="false" outlineLevel="0" max="11" min="11" style="0" width="50"/>
    <col collapsed="false" customWidth="true" hidden="false" outlineLevel="0" max="12" min="12" style="0" width="30"/>
    <col collapsed="false" customWidth="true" hidden="false" outlineLevel="0" max="14" min="13" style="0" width="11"/>
    <col collapsed="false" customWidth="true" hidden="false" outlineLevel="0" max="15" min="15" style="0" width="26"/>
    <col collapsed="false" customWidth="true" hidden="false" outlineLevel="0" max="16" min="16" style="0" width="16"/>
    <col collapsed="false" customWidth="true" hidden="false" outlineLevel="0" max="17" min="17" style="0" width="12"/>
    <col collapsed="false" customWidth="true" hidden="false" outlineLevel="0" max="18" min="18" style="0" width="30"/>
    <col collapsed="false" customWidth="true" hidden="true" outlineLevel="0" max="20" min="20" style="0" width="13"/>
  </cols>
  <sheetData>
    <row r="1" customFormat="false" ht="17.35" hidden="false" customHeight="false" outlineLevel="0" collapsed="false">
      <c r="A1" s="9" t="s">
        <v>799</v>
      </c>
      <c r="B1" s="9"/>
      <c r="C1" s="9"/>
      <c r="D1" s="9"/>
      <c r="E1" s="9"/>
      <c r="F1" s="9"/>
      <c r="G1" s="9"/>
      <c r="H1" s="9"/>
      <c r="J1" s="10" t="s">
        <v>88</v>
      </c>
    </row>
    <row r="2" customFormat="false" ht="30" hidden="false" customHeight="true" outlineLevel="0" collapsed="false">
      <c r="A2" s="11" t="s">
        <v>89</v>
      </c>
      <c r="B2" s="11" t="s">
        <v>90</v>
      </c>
      <c r="C2" s="11" t="s">
        <v>91</v>
      </c>
      <c r="D2" s="11" t="s">
        <v>92</v>
      </c>
      <c r="E2" s="11" t="s">
        <v>93</v>
      </c>
      <c r="F2" s="11" t="s">
        <v>94</v>
      </c>
      <c r="G2" s="11" t="s">
        <v>95</v>
      </c>
      <c r="H2" s="11" t="s">
        <v>96</v>
      </c>
      <c r="I2" s="11" t="s">
        <v>97</v>
      </c>
      <c r="J2" s="11" t="s">
        <v>98</v>
      </c>
      <c r="K2" s="11" t="s">
        <v>99</v>
      </c>
      <c r="L2" s="11" t="s">
        <v>100</v>
      </c>
      <c r="M2" s="11" t="s">
        <v>101</v>
      </c>
      <c r="N2" s="11" t="s">
        <v>102</v>
      </c>
      <c r="O2" s="11" t="s">
        <v>103</v>
      </c>
      <c r="P2" s="11" t="s">
        <v>104</v>
      </c>
      <c r="Q2" s="11" t="s">
        <v>105</v>
      </c>
      <c r="R2" s="11" t="s">
        <v>106</v>
      </c>
      <c r="T2" s="10" t="s">
        <v>107</v>
      </c>
    </row>
    <row r="3" customFormat="false" ht="61.5" hidden="false" customHeight="true" outlineLevel="0" collapsed="false">
      <c r="A3" s="12" t="s">
        <v>800</v>
      </c>
      <c r="B3" s="13" t="s">
        <v>801</v>
      </c>
      <c r="C3" s="17" t="s">
        <v>39</v>
      </c>
      <c r="D3" s="13" t="s">
        <v>301</v>
      </c>
      <c r="E3" s="13" t="s">
        <v>111</v>
      </c>
      <c r="F3" s="13" t="s">
        <v>802</v>
      </c>
      <c r="G3" s="13" t="s">
        <v>803</v>
      </c>
      <c r="H3" s="13"/>
      <c r="I3" s="13" t="s">
        <v>804</v>
      </c>
      <c r="J3" s="13" t="s">
        <v>805</v>
      </c>
      <c r="K3" s="13" t="s">
        <v>806</v>
      </c>
      <c r="L3" s="13" t="s">
        <v>524</v>
      </c>
      <c r="M3" s="13" t="s">
        <v>48</v>
      </c>
      <c r="N3" s="15" t="s">
        <v>34</v>
      </c>
      <c r="O3" s="15"/>
      <c r="P3" s="15"/>
      <c r="Q3" s="15"/>
      <c r="R3" s="15"/>
      <c r="T3" s="0" t="n">
        <v>8</v>
      </c>
    </row>
    <row r="4" customFormat="false" ht="61.5" hidden="false" customHeight="true" outlineLevel="0" collapsed="false">
      <c r="A4" s="12" t="s">
        <v>807</v>
      </c>
      <c r="B4" s="13" t="s">
        <v>808</v>
      </c>
      <c r="C4" s="16" t="s">
        <v>41</v>
      </c>
      <c r="D4" s="13" t="s">
        <v>301</v>
      </c>
      <c r="E4" s="13" t="s">
        <v>140</v>
      </c>
      <c r="F4" s="13" t="s">
        <v>809</v>
      </c>
      <c r="G4" s="13" t="s">
        <v>810</v>
      </c>
      <c r="H4" s="13" t="s">
        <v>811</v>
      </c>
      <c r="I4" s="13" t="s">
        <v>812</v>
      </c>
      <c r="J4" s="13" t="s">
        <v>813</v>
      </c>
      <c r="K4" s="13" t="s">
        <v>814</v>
      </c>
      <c r="L4" s="13" t="s">
        <v>380</v>
      </c>
      <c r="M4" s="13" t="s">
        <v>48</v>
      </c>
      <c r="N4" s="15" t="s">
        <v>34</v>
      </c>
      <c r="O4" s="15"/>
      <c r="P4" s="15"/>
      <c r="Q4" s="15"/>
      <c r="R4" s="15"/>
      <c r="T4" s="0" t="n">
        <v>5</v>
      </c>
    </row>
    <row r="5" customFormat="false" ht="61.5" hidden="false" customHeight="true" outlineLevel="0" collapsed="false">
      <c r="A5" s="12" t="s">
        <v>815</v>
      </c>
      <c r="B5" s="13" t="s">
        <v>816</v>
      </c>
      <c r="C5" s="19" t="s">
        <v>43</v>
      </c>
      <c r="D5" s="13" t="s">
        <v>192</v>
      </c>
      <c r="E5" s="13" t="s">
        <v>140</v>
      </c>
      <c r="F5" s="13" t="s">
        <v>817</v>
      </c>
      <c r="G5" s="13" t="s">
        <v>818</v>
      </c>
      <c r="H5" s="13" t="s">
        <v>819</v>
      </c>
      <c r="I5" s="13" t="s">
        <v>820</v>
      </c>
      <c r="J5" s="13" t="s">
        <v>821</v>
      </c>
      <c r="K5" s="13" t="s">
        <v>822</v>
      </c>
      <c r="L5" s="13" t="s">
        <v>380</v>
      </c>
      <c r="M5" s="13" t="s">
        <v>48</v>
      </c>
      <c r="N5" s="15" t="s">
        <v>34</v>
      </c>
      <c r="O5" s="15"/>
      <c r="P5" s="15"/>
      <c r="Q5" s="15"/>
      <c r="R5" s="15"/>
      <c r="T5" s="0" t="n">
        <v>3</v>
      </c>
    </row>
    <row r="6" customFormat="false" ht="61.5" hidden="false" customHeight="true" outlineLevel="0" collapsed="false">
      <c r="A6" s="12" t="s">
        <v>823</v>
      </c>
      <c r="B6" s="13" t="s">
        <v>824</v>
      </c>
      <c r="C6" s="17" t="s">
        <v>39</v>
      </c>
      <c r="D6" s="13" t="s">
        <v>301</v>
      </c>
      <c r="E6" s="13" t="s">
        <v>140</v>
      </c>
      <c r="F6" s="13" t="s">
        <v>825</v>
      </c>
      <c r="G6" s="13" t="s">
        <v>826</v>
      </c>
      <c r="H6" s="13"/>
      <c r="I6" s="13" t="s">
        <v>827</v>
      </c>
      <c r="J6" s="13" t="s">
        <v>828</v>
      </c>
      <c r="K6" s="13" t="s">
        <v>829</v>
      </c>
      <c r="L6" s="13" t="s">
        <v>380</v>
      </c>
      <c r="M6" s="13" t="s">
        <v>48</v>
      </c>
      <c r="N6" s="15" t="s">
        <v>34</v>
      </c>
      <c r="O6" s="15"/>
      <c r="P6" s="15"/>
      <c r="Q6" s="15"/>
      <c r="R6" s="15"/>
      <c r="T6" s="0" t="n">
        <v>8</v>
      </c>
    </row>
    <row r="7" customFormat="false" ht="61.5" hidden="false" customHeight="true" outlineLevel="0" collapsed="false">
      <c r="A7" s="12" t="s">
        <v>830</v>
      </c>
      <c r="B7" s="13" t="s">
        <v>831</v>
      </c>
      <c r="C7" s="16" t="s">
        <v>41</v>
      </c>
      <c r="D7" s="13" t="s">
        <v>428</v>
      </c>
      <c r="E7" s="13" t="s">
        <v>140</v>
      </c>
      <c r="F7" s="13" t="s">
        <v>832</v>
      </c>
      <c r="G7" s="13" t="s">
        <v>833</v>
      </c>
      <c r="H7" s="13"/>
      <c r="I7" s="13" t="s">
        <v>834</v>
      </c>
      <c r="J7" s="13" t="s">
        <v>835</v>
      </c>
      <c r="K7" s="13" t="s">
        <v>836</v>
      </c>
      <c r="L7" s="13" t="s">
        <v>380</v>
      </c>
      <c r="M7" s="13" t="s">
        <v>48</v>
      </c>
      <c r="N7" s="15" t="s">
        <v>34</v>
      </c>
      <c r="O7" s="15"/>
      <c r="P7" s="15"/>
      <c r="Q7" s="15"/>
      <c r="R7" s="15"/>
      <c r="T7" s="0" t="n">
        <v>5</v>
      </c>
    </row>
    <row r="8" customFormat="false" ht="61.5" hidden="false" customHeight="true" outlineLevel="0" collapsed="false">
      <c r="A8" s="12" t="s">
        <v>837</v>
      </c>
      <c r="B8" s="13" t="s">
        <v>838</v>
      </c>
      <c r="C8" s="19" t="s">
        <v>43</v>
      </c>
      <c r="D8" s="13" t="s">
        <v>110</v>
      </c>
      <c r="E8" s="13" t="s">
        <v>140</v>
      </c>
      <c r="F8" s="13" t="s">
        <v>839</v>
      </c>
      <c r="G8" s="13" t="s">
        <v>840</v>
      </c>
      <c r="H8" s="13"/>
      <c r="I8" s="13" t="s">
        <v>841</v>
      </c>
      <c r="J8" s="13" t="s">
        <v>842</v>
      </c>
      <c r="K8" s="13" t="s">
        <v>843</v>
      </c>
      <c r="L8" s="13" t="s">
        <v>280</v>
      </c>
      <c r="M8" s="13" t="s">
        <v>48</v>
      </c>
      <c r="N8" s="15" t="s">
        <v>34</v>
      </c>
      <c r="O8" s="15"/>
      <c r="P8" s="15"/>
      <c r="Q8" s="15"/>
      <c r="R8" s="15"/>
      <c r="T8" s="0" t="n">
        <v>3</v>
      </c>
    </row>
    <row r="9" customFormat="false" ht="61.5" hidden="false" customHeight="true" outlineLevel="0" collapsed="false">
      <c r="A9" s="12" t="s">
        <v>844</v>
      </c>
      <c r="B9" s="13" t="s">
        <v>845</v>
      </c>
      <c r="C9" s="16" t="s">
        <v>41</v>
      </c>
      <c r="D9" s="13" t="s">
        <v>335</v>
      </c>
      <c r="E9" s="13" t="s">
        <v>140</v>
      </c>
      <c r="F9" s="13" t="s">
        <v>846</v>
      </c>
      <c r="G9" s="13" t="s">
        <v>847</v>
      </c>
      <c r="H9" s="13"/>
      <c r="I9" s="13" t="s">
        <v>848</v>
      </c>
      <c r="J9" s="13" t="s">
        <v>849</v>
      </c>
      <c r="K9" s="13" t="s">
        <v>850</v>
      </c>
      <c r="L9" s="13" t="s">
        <v>248</v>
      </c>
      <c r="M9" s="13" t="s">
        <v>50</v>
      </c>
      <c r="N9" s="15" t="s">
        <v>34</v>
      </c>
      <c r="O9" s="15"/>
      <c r="P9" s="15"/>
      <c r="Q9" s="15"/>
      <c r="R9" s="15"/>
      <c r="T9" s="0" t="n">
        <v>5</v>
      </c>
    </row>
  </sheetData>
  <autoFilter ref="A2:R9"/>
  <mergeCells count="1">
    <mergeCell ref="A1:H1"/>
  </mergeCells>
  <conditionalFormatting sqref="N3:N9">
    <cfRule type="cellIs" priority="2" operator="equal" aboveAverage="0" equalAverage="0" bottom="0" percent="0" rank="0" text="" dxfId="12">
      <formula>"pass"</formula>
    </cfRule>
    <cfRule type="cellIs" priority="3" operator="equal" aboveAverage="0" equalAverage="0" bottom="0" percent="0" rank="0" text="" dxfId="13">
      <formula>"partial"</formula>
    </cfRule>
    <cfRule type="cellIs" priority="4" operator="equal" aboveAverage="0" equalAverage="0" bottom="0" percent="0" rank="0" text="" dxfId="14">
      <formula>"fail"</formula>
    </cfRule>
    <cfRule type="cellIs" priority="5" operator="equal" aboveAverage="0" equalAverage="0" bottom="0" percent="0" rank="0" text="" dxfId="15">
      <formula>"na"</formula>
    </cfRule>
    <cfRule type="cellIs" priority="6" operator="equal" aboveAverage="0" equalAverage="0" bottom="0" percent="0" rank="0" text="" dxfId="16">
      <formula>"unknown"</formula>
    </cfRule>
  </conditionalFormatting>
  <dataValidations count="1">
    <dataValidation allowBlank="false" error="Choose one of: unknown, pass, partial, fail, na" errorStyle="stop" errorTitle="Invalid result" operator="between" showDropDown="false" showErrorMessage="false" showInputMessage="false" sqref="N3:N9" type="list">
      <formula1>"unknown,pass,partial,fail,na"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6"/>
    <col collapsed="false" customWidth="true" hidden="false" outlineLevel="0" max="3" min="3" style="0" width="10"/>
    <col collapsed="false" customWidth="true" hidden="false" outlineLevel="0" max="4" min="4" style="0" width="13"/>
    <col collapsed="false" customWidth="true" hidden="false" outlineLevel="0" max="5" min="5" style="0" width="22"/>
    <col collapsed="false" customWidth="true" hidden="false" outlineLevel="0" max="7" min="6" style="0" width="62"/>
    <col collapsed="false" customWidth="true" hidden="false" outlineLevel="0" max="8" min="8" style="0" width="26"/>
    <col collapsed="false" customWidth="true" hidden="false" outlineLevel="0" max="9" min="9" style="0" width="52"/>
    <col collapsed="false" customWidth="true" hidden="false" outlineLevel="0" max="10" min="10" style="0" width="58"/>
    <col collapsed="false" customWidth="true" hidden="false" outlineLevel="0" max="11" min="11" style="0" width="50"/>
    <col collapsed="false" customWidth="true" hidden="false" outlineLevel="0" max="12" min="12" style="0" width="30"/>
    <col collapsed="false" customWidth="true" hidden="false" outlineLevel="0" max="14" min="13" style="0" width="11"/>
    <col collapsed="false" customWidth="true" hidden="false" outlineLevel="0" max="15" min="15" style="0" width="26"/>
    <col collapsed="false" customWidth="true" hidden="false" outlineLevel="0" max="16" min="16" style="0" width="16"/>
    <col collapsed="false" customWidth="true" hidden="false" outlineLevel="0" max="17" min="17" style="0" width="12"/>
    <col collapsed="false" customWidth="true" hidden="false" outlineLevel="0" max="18" min="18" style="0" width="30"/>
    <col collapsed="false" customWidth="true" hidden="true" outlineLevel="0" max="20" min="20" style="0" width="13"/>
  </cols>
  <sheetData>
    <row r="1" customFormat="false" ht="17.35" hidden="false" customHeight="false" outlineLevel="0" collapsed="false">
      <c r="A1" s="9" t="s">
        <v>851</v>
      </c>
      <c r="B1" s="9"/>
      <c r="C1" s="9"/>
      <c r="D1" s="9"/>
      <c r="E1" s="9"/>
      <c r="F1" s="9"/>
      <c r="G1" s="9"/>
      <c r="H1" s="9"/>
      <c r="J1" s="10" t="s">
        <v>88</v>
      </c>
    </row>
    <row r="2" customFormat="false" ht="30" hidden="false" customHeight="true" outlineLevel="0" collapsed="false">
      <c r="A2" s="11" t="s">
        <v>89</v>
      </c>
      <c r="B2" s="11" t="s">
        <v>90</v>
      </c>
      <c r="C2" s="11" t="s">
        <v>91</v>
      </c>
      <c r="D2" s="11" t="s">
        <v>92</v>
      </c>
      <c r="E2" s="11" t="s">
        <v>93</v>
      </c>
      <c r="F2" s="11" t="s">
        <v>94</v>
      </c>
      <c r="G2" s="11" t="s">
        <v>95</v>
      </c>
      <c r="H2" s="11" t="s">
        <v>96</v>
      </c>
      <c r="I2" s="11" t="s">
        <v>97</v>
      </c>
      <c r="J2" s="11" t="s">
        <v>98</v>
      </c>
      <c r="K2" s="11" t="s">
        <v>99</v>
      </c>
      <c r="L2" s="11" t="s">
        <v>100</v>
      </c>
      <c r="M2" s="11" t="s">
        <v>101</v>
      </c>
      <c r="N2" s="11" t="s">
        <v>102</v>
      </c>
      <c r="O2" s="11" t="s">
        <v>103</v>
      </c>
      <c r="P2" s="11" t="s">
        <v>104</v>
      </c>
      <c r="Q2" s="11" t="s">
        <v>105</v>
      </c>
      <c r="R2" s="11" t="s">
        <v>106</v>
      </c>
      <c r="T2" s="10" t="s">
        <v>107</v>
      </c>
    </row>
    <row r="3" customFormat="false" ht="61.5" hidden="false" customHeight="true" outlineLevel="0" collapsed="false">
      <c r="A3" s="12" t="s">
        <v>852</v>
      </c>
      <c r="B3" s="13" t="s">
        <v>853</v>
      </c>
      <c r="C3" s="17" t="s">
        <v>39</v>
      </c>
      <c r="D3" s="13" t="s">
        <v>301</v>
      </c>
      <c r="E3" s="13" t="s">
        <v>140</v>
      </c>
      <c r="F3" s="13" t="s">
        <v>854</v>
      </c>
      <c r="G3" s="13" t="s">
        <v>855</v>
      </c>
      <c r="H3" s="13"/>
      <c r="I3" s="13" t="s">
        <v>856</v>
      </c>
      <c r="J3" s="13" t="s">
        <v>857</v>
      </c>
      <c r="K3" s="13" t="s">
        <v>858</v>
      </c>
      <c r="L3" s="13" t="s">
        <v>289</v>
      </c>
      <c r="M3" s="13" t="s">
        <v>48</v>
      </c>
      <c r="N3" s="15" t="s">
        <v>34</v>
      </c>
      <c r="O3" s="15"/>
      <c r="P3" s="15"/>
      <c r="Q3" s="15"/>
      <c r="R3" s="15"/>
      <c r="T3" s="0" t="n">
        <v>8</v>
      </c>
    </row>
    <row r="4" customFormat="false" ht="61.5" hidden="false" customHeight="true" outlineLevel="0" collapsed="false">
      <c r="A4" s="12" t="s">
        <v>859</v>
      </c>
      <c r="B4" s="13" t="s">
        <v>860</v>
      </c>
      <c r="C4" s="17" t="s">
        <v>39</v>
      </c>
      <c r="D4" s="13" t="s">
        <v>301</v>
      </c>
      <c r="E4" s="13" t="s">
        <v>173</v>
      </c>
      <c r="F4" s="13" t="s">
        <v>861</v>
      </c>
      <c r="G4" s="13" t="s">
        <v>862</v>
      </c>
      <c r="H4" s="13"/>
      <c r="I4" s="13" t="s">
        <v>863</v>
      </c>
      <c r="J4" s="13" t="s">
        <v>864</v>
      </c>
      <c r="K4" s="13" t="s">
        <v>865</v>
      </c>
      <c r="L4" s="13" t="s">
        <v>380</v>
      </c>
      <c r="M4" s="13" t="s">
        <v>48</v>
      </c>
      <c r="N4" s="15" t="s">
        <v>34</v>
      </c>
      <c r="O4" s="15"/>
      <c r="P4" s="15"/>
      <c r="Q4" s="15"/>
      <c r="R4" s="15"/>
      <c r="T4" s="0" t="n">
        <v>8</v>
      </c>
    </row>
    <row r="5" customFormat="false" ht="61.5" hidden="false" customHeight="true" outlineLevel="0" collapsed="false">
      <c r="A5" s="12" t="s">
        <v>866</v>
      </c>
      <c r="B5" s="13" t="s">
        <v>867</v>
      </c>
      <c r="C5" s="16" t="s">
        <v>41</v>
      </c>
      <c r="D5" s="13" t="s">
        <v>301</v>
      </c>
      <c r="E5" s="13" t="s">
        <v>111</v>
      </c>
      <c r="F5" s="13" t="s">
        <v>868</v>
      </c>
      <c r="G5" s="13" t="s">
        <v>869</v>
      </c>
      <c r="H5" s="13"/>
      <c r="I5" s="13" t="s">
        <v>870</v>
      </c>
      <c r="J5" s="13" t="s">
        <v>871</v>
      </c>
      <c r="K5" s="13" t="s">
        <v>872</v>
      </c>
      <c r="L5" s="13" t="s">
        <v>873</v>
      </c>
      <c r="M5" s="13" t="s">
        <v>48</v>
      </c>
      <c r="N5" s="15" t="s">
        <v>34</v>
      </c>
      <c r="O5" s="15"/>
      <c r="P5" s="15"/>
      <c r="Q5" s="15"/>
      <c r="R5" s="15"/>
      <c r="T5" s="0" t="n">
        <v>5</v>
      </c>
    </row>
    <row r="6" customFormat="false" ht="61.5" hidden="false" customHeight="true" outlineLevel="0" collapsed="false">
      <c r="A6" s="12" t="s">
        <v>874</v>
      </c>
      <c r="B6" s="13" t="s">
        <v>875</v>
      </c>
      <c r="C6" s="16" t="s">
        <v>41</v>
      </c>
      <c r="D6" s="13" t="s">
        <v>301</v>
      </c>
      <c r="E6" s="13" t="s">
        <v>111</v>
      </c>
      <c r="F6" s="13" t="s">
        <v>876</v>
      </c>
      <c r="G6" s="13" t="s">
        <v>877</v>
      </c>
      <c r="H6" s="13"/>
      <c r="I6" s="13" t="s">
        <v>878</v>
      </c>
      <c r="J6" s="13" t="s">
        <v>879</v>
      </c>
      <c r="K6" s="13" t="s">
        <v>880</v>
      </c>
      <c r="L6" s="13" t="s">
        <v>297</v>
      </c>
      <c r="M6" s="13" t="s">
        <v>48</v>
      </c>
      <c r="N6" s="15" t="s">
        <v>34</v>
      </c>
      <c r="O6" s="15"/>
      <c r="P6" s="15"/>
      <c r="Q6" s="15"/>
      <c r="R6" s="15"/>
      <c r="T6" s="0" t="n">
        <v>5</v>
      </c>
    </row>
    <row r="7" customFormat="false" ht="61.5" hidden="false" customHeight="true" outlineLevel="0" collapsed="false">
      <c r="A7" s="12" t="s">
        <v>881</v>
      </c>
      <c r="B7" s="13" t="s">
        <v>882</v>
      </c>
      <c r="C7" s="19" t="s">
        <v>43</v>
      </c>
      <c r="D7" s="13" t="s">
        <v>129</v>
      </c>
      <c r="E7" s="13" t="s">
        <v>111</v>
      </c>
      <c r="F7" s="13" t="s">
        <v>883</v>
      </c>
      <c r="G7" s="13" t="s">
        <v>884</v>
      </c>
      <c r="H7" s="13"/>
      <c r="I7" s="13" t="s">
        <v>885</v>
      </c>
      <c r="J7" s="13" t="s">
        <v>886</v>
      </c>
      <c r="K7" s="13" t="s">
        <v>887</v>
      </c>
      <c r="L7" s="13" t="s">
        <v>380</v>
      </c>
      <c r="M7" s="13" t="s">
        <v>48</v>
      </c>
      <c r="N7" s="15" t="s">
        <v>34</v>
      </c>
      <c r="O7" s="15"/>
      <c r="P7" s="15"/>
      <c r="Q7" s="15"/>
      <c r="R7" s="15"/>
      <c r="T7" s="0" t="n">
        <v>3</v>
      </c>
    </row>
  </sheetData>
  <autoFilter ref="A2:R7"/>
  <mergeCells count="1">
    <mergeCell ref="A1:H1"/>
  </mergeCells>
  <conditionalFormatting sqref="N3:N7">
    <cfRule type="cellIs" priority="2" operator="equal" aboveAverage="0" equalAverage="0" bottom="0" percent="0" rank="0" text="" dxfId="12">
      <formula>"pass"</formula>
    </cfRule>
    <cfRule type="cellIs" priority="3" operator="equal" aboveAverage="0" equalAverage="0" bottom="0" percent="0" rank="0" text="" dxfId="13">
      <formula>"partial"</formula>
    </cfRule>
    <cfRule type="cellIs" priority="4" operator="equal" aboveAverage="0" equalAverage="0" bottom="0" percent="0" rank="0" text="" dxfId="14">
      <formula>"fail"</formula>
    </cfRule>
    <cfRule type="cellIs" priority="5" operator="equal" aboveAverage="0" equalAverage="0" bottom="0" percent="0" rank="0" text="" dxfId="15">
      <formula>"na"</formula>
    </cfRule>
    <cfRule type="cellIs" priority="6" operator="equal" aboveAverage="0" equalAverage="0" bottom="0" percent="0" rank="0" text="" dxfId="16">
      <formula>"unknown"</formula>
    </cfRule>
  </conditionalFormatting>
  <dataValidations count="1">
    <dataValidation allowBlank="false" error="Choose one of: unknown, pass, partial, fail, na" errorStyle="stop" errorTitle="Invalid result" operator="between" showDropDown="false" showErrorMessage="false" showInputMessage="false" sqref="N3:N7" type="list">
      <formula1>"unknown,pass,partial,fail,na"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6"/>
    <col collapsed="false" customWidth="true" hidden="false" outlineLevel="0" max="3" min="3" style="0" width="10"/>
    <col collapsed="false" customWidth="true" hidden="false" outlineLevel="0" max="4" min="4" style="0" width="13"/>
    <col collapsed="false" customWidth="true" hidden="false" outlineLevel="0" max="5" min="5" style="0" width="22"/>
    <col collapsed="false" customWidth="true" hidden="false" outlineLevel="0" max="7" min="6" style="0" width="62"/>
    <col collapsed="false" customWidth="true" hidden="false" outlineLevel="0" max="8" min="8" style="0" width="26"/>
    <col collapsed="false" customWidth="true" hidden="false" outlineLevel="0" max="9" min="9" style="0" width="52"/>
    <col collapsed="false" customWidth="true" hidden="false" outlineLevel="0" max="10" min="10" style="0" width="58"/>
    <col collapsed="false" customWidth="true" hidden="false" outlineLevel="0" max="11" min="11" style="0" width="50"/>
    <col collapsed="false" customWidth="true" hidden="false" outlineLevel="0" max="12" min="12" style="0" width="30"/>
    <col collapsed="false" customWidth="true" hidden="false" outlineLevel="0" max="14" min="13" style="0" width="11"/>
    <col collapsed="false" customWidth="true" hidden="false" outlineLevel="0" max="15" min="15" style="0" width="26"/>
    <col collapsed="false" customWidth="true" hidden="false" outlineLevel="0" max="16" min="16" style="0" width="16"/>
    <col collapsed="false" customWidth="true" hidden="false" outlineLevel="0" max="17" min="17" style="0" width="12"/>
    <col collapsed="false" customWidth="true" hidden="false" outlineLevel="0" max="18" min="18" style="0" width="30"/>
    <col collapsed="false" customWidth="true" hidden="true" outlineLevel="0" max="20" min="20" style="0" width="13"/>
  </cols>
  <sheetData>
    <row r="1" customFormat="false" ht="17.35" hidden="false" customHeight="false" outlineLevel="0" collapsed="false">
      <c r="A1" s="9" t="s">
        <v>888</v>
      </c>
      <c r="B1" s="9"/>
      <c r="C1" s="9"/>
      <c r="D1" s="9"/>
      <c r="E1" s="9"/>
      <c r="F1" s="9"/>
      <c r="G1" s="9"/>
      <c r="H1" s="9"/>
      <c r="J1" s="10" t="s">
        <v>88</v>
      </c>
    </row>
    <row r="2" customFormat="false" ht="30" hidden="false" customHeight="true" outlineLevel="0" collapsed="false">
      <c r="A2" s="11" t="s">
        <v>89</v>
      </c>
      <c r="B2" s="11" t="s">
        <v>90</v>
      </c>
      <c r="C2" s="11" t="s">
        <v>91</v>
      </c>
      <c r="D2" s="11" t="s">
        <v>92</v>
      </c>
      <c r="E2" s="11" t="s">
        <v>93</v>
      </c>
      <c r="F2" s="11" t="s">
        <v>94</v>
      </c>
      <c r="G2" s="11" t="s">
        <v>95</v>
      </c>
      <c r="H2" s="11" t="s">
        <v>96</v>
      </c>
      <c r="I2" s="11" t="s">
        <v>97</v>
      </c>
      <c r="J2" s="11" t="s">
        <v>98</v>
      </c>
      <c r="K2" s="11" t="s">
        <v>99</v>
      </c>
      <c r="L2" s="11" t="s">
        <v>100</v>
      </c>
      <c r="M2" s="11" t="s">
        <v>101</v>
      </c>
      <c r="N2" s="11" t="s">
        <v>102</v>
      </c>
      <c r="O2" s="11" t="s">
        <v>103</v>
      </c>
      <c r="P2" s="11" t="s">
        <v>104</v>
      </c>
      <c r="Q2" s="11" t="s">
        <v>105</v>
      </c>
      <c r="R2" s="11" t="s">
        <v>106</v>
      </c>
      <c r="T2" s="10" t="s">
        <v>107</v>
      </c>
    </row>
    <row r="3" customFormat="false" ht="61.5" hidden="false" customHeight="true" outlineLevel="0" collapsed="false">
      <c r="A3" s="12" t="s">
        <v>889</v>
      </c>
      <c r="B3" s="13" t="s">
        <v>890</v>
      </c>
      <c r="C3" s="17" t="s">
        <v>39</v>
      </c>
      <c r="D3" s="13" t="s">
        <v>301</v>
      </c>
      <c r="E3" s="13" t="s">
        <v>173</v>
      </c>
      <c r="F3" s="13" t="s">
        <v>891</v>
      </c>
      <c r="G3" s="13" t="s">
        <v>892</v>
      </c>
      <c r="H3" s="13"/>
      <c r="I3" s="13" t="s">
        <v>893</v>
      </c>
      <c r="J3" s="13" t="s">
        <v>894</v>
      </c>
      <c r="K3" s="13" t="s">
        <v>895</v>
      </c>
      <c r="L3" s="13" t="s">
        <v>364</v>
      </c>
      <c r="M3" s="13" t="s">
        <v>48</v>
      </c>
      <c r="N3" s="15" t="s">
        <v>34</v>
      </c>
      <c r="O3" s="15"/>
      <c r="P3" s="15"/>
      <c r="Q3" s="15"/>
      <c r="R3" s="15"/>
      <c r="T3" s="0" t="n">
        <v>8</v>
      </c>
    </row>
    <row r="4" customFormat="false" ht="61.5" hidden="false" customHeight="true" outlineLevel="0" collapsed="false">
      <c r="A4" s="12" t="s">
        <v>896</v>
      </c>
      <c r="B4" s="13" t="s">
        <v>897</v>
      </c>
      <c r="C4" s="16" t="s">
        <v>41</v>
      </c>
      <c r="D4" s="13" t="s">
        <v>192</v>
      </c>
      <c r="E4" s="13" t="s">
        <v>173</v>
      </c>
      <c r="F4" s="13" t="s">
        <v>898</v>
      </c>
      <c r="G4" s="13" t="s">
        <v>899</v>
      </c>
      <c r="H4" s="13" t="s">
        <v>900</v>
      </c>
      <c r="I4" s="13" t="s">
        <v>901</v>
      </c>
      <c r="J4" s="13" t="s">
        <v>902</v>
      </c>
      <c r="K4" s="13" t="s">
        <v>903</v>
      </c>
      <c r="L4" s="13" t="s">
        <v>904</v>
      </c>
      <c r="M4" s="13" t="s">
        <v>48</v>
      </c>
      <c r="N4" s="15" t="s">
        <v>34</v>
      </c>
      <c r="O4" s="15"/>
      <c r="P4" s="15"/>
      <c r="Q4" s="15"/>
      <c r="R4" s="15"/>
      <c r="T4" s="0" t="n">
        <v>5</v>
      </c>
    </row>
    <row r="5" customFormat="false" ht="61.5" hidden="false" customHeight="true" outlineLevel="0" collapsed="false">
      <c r="A5" s="12" t="s">
        <v>905</v>
      </c>
      <c r="B5" s="13" t="s">
        <v>906</v>
      </c>
      <c r="C5" s="16" t="s">
        <v>41</v>
      </c>
      <c r="D5" s="13" t="s">
        <v>192</v>
      </c>
      <c r="E5" s="13" t="s">
        <v>173</v>
      </c>
      <c r="F5" s="13" t="s">
        <v>907</v>
      </c>
      <c r="G5" s="13" t="s">
        <v>908</v>
      </c>
      <c r="H5" s="13" t="s">
        <v>909</v>
      </c>
      <c r="I5" s="13" t="s">
        <v>910</v>
      </c>
      <c r="J5" s="13" t="s">
        <v>911</v>
      </c>
      <c r="K5" s="13" t="s">
        <v>912</v>
      </c>
      <c r="L5" s="13" t="s">
        <v>179</v>
      </c>
      <c r="M5" s="13" t="s">
        <v>48</v>
      </c>
      <c r="N5" s="15" t="s">
        <v>34</v>
      </c>
      <c r="O5" s="15"/>
      <c r="P5" s="15"/>
      <c r="Q5" s="15"/>
      <c r="R5" s="15"/>
      <c r="T5" s="0" t="n">
        <v>5</v>
      </c>
    </row>
    <row r="6" customFormat="false" ht="61.5" hidden="false" customHeight="true" outlineLevel="0" collapsed="false">
      <c r="A6" s="12" t="s">
        <v>913</v>
      </c>
      <c r="B6" s="13" t="s">
        <v>914</v>
      </c>
      <c r="C6" s="16" t="s">
        <v>41</v>
      </c>
      <c r="D6" s="13" t="s">
        <v>301</v>
      </c>
      <c r="E6" s="13" t="s">
        <v>173</v>
      </c>
      <c r="F6" s="13" t="s">
        <v>915</v>
      </c>
      <c r="G6" s="13" t="s">
        <v>916</v>
      </c>
      <c r="H6" s="13"/>
      <c r="I6" s="13" t="s">
        <v>917</v>
      </c>
      <c r="J6" s="13" t="s">
        <v>918</v>
      </c>
      <c r="K6" s="13" t="s">
        <v>919</v>
      </c>
      <c r="L6" s="13" t="s">
        <v>372</v>
      </c>
      <c r="M6" s="13" t="s">
        <v>48</v>
      </c>
      <c r="N6" s="15" t="s">
        <v>34</v>
      </c>
      <c r="O6" s="15"/>
      <c r="P6" s="15"/>
      <c r="Q6" s="15"/>
      <c r="R6" s="15"/>
      <c r="T6" s="0" t="n">
        <v>5</v>
      </c>
    </row>
    <row r="7" customFormat="false" ht="61.5" hidden="false" customHeight="true" outlineLevel="0" collapsed="false">
      <c r="A7" s="12" t="s">
        <v>920</v>
      </c>
      <c r="B7" s="13" t="s">
        <v>921</v>
      </c>
      <c r="C7" s="16" t="s">
        <v>41</v>
      </c>
      <c r="D7" s="13" t="s">
        <v>210</v>
      </c>
      <c r="E7" s="13" t="s">
        <v>173</v>
      </c>
      <c r="F7" s="13" t="s">
        <v>922</v>
      </c>
      <c r="G7" s="13" t="s">
        <v>923</v>
      </c>
      <c r="H7" s="13"/>
      <c r="I7" s="13" t="s">
        <v>924</v>
      </c>
      <c r="J7" s="13" t="s">
        <v>925</v>
      </c>
      <c r="K7" s="13" t="s">
        <v>926</v>
      </c>
      <c r="L7" s="13" t="s">
        <v>927</v>
      </c>
      <c r="M7" s="13" t="s">
        <v>48</v>
      </c>
      <c r="N7" s="15" t="s">
        <v>34</v>
      </c>
      <c r="O7" s="15"/>
      <c r="P7" s="15"/>
      <c r="Q7" s="15"/>
      <c r="R7" s="15"/>
      <c r="T7" s="0" t="n">
        <v>5</v>
      </c>
    </row>
    <row r="8" customFormat="false" ht="61.5" hidden="false" customHeight="true" outlineLevel="0" collapsed="false">
      <c r="A8" s="12" t="s">
        <v>928</v>
      </c>
      <c r="B8" s="13" t="s">
        <v>929</v>
      </c>
      <c r="C8" s="19" t="s">
        <v>43</v>
      </c>
      <c r="D8" s="13" t="s">
        <v>192</v>
      </c>
      <c r="E8" s="13" t="s">
        <v>173</v>
      </c>
      <c r="F8" s="13" t="s">
        <v>930</v>
      </c>
      <c r="G8" s="13" t="s">
        <v>931</v>
      </c>
      <c r="H8" s="13"/>
      <c r="I8" s="13" t="s">
        <v>932</v>
      </c>
      <c r="J8" s="13" t="s">
        <v>933</v>
      </c>
      <c r="K8" s="13" t="s">
        <v>934</v>
      </c>
      <c r="L8" s="13" t="s">
        <v>179</v>
      </c>
      <c r="M8" s="13" t="s">
        <v>48</v>
      </c>
      <c r="N8" s="15" t="s">
        <v>34</v>
      </c>
      <c r="O8" s="15"/>
      <c r="P8" s="15"/>
      <c r="Q8" s="15"/>
      <c r="R8" s="15"/>
      <c r="T8" s="0" t="n">
        <v>3</v>
      </c>
    </row>
    <row r="9" customFormat="false" ht="61.5" hidden="false" customHeight="true" outlineLevel="0" collapsed="false">
      <c r="A9" s="12" t="s">
        <v>935</v>
      </c>
      <c r="B9" s="13" t="s">
        <v>936</v>
      </c>
      <c r="C9" s="19" t="s">
        <v>43</v>
      </c>
      <c r="D9" s="13" t="s">
        <v>129</v>
      </c>
      <c r="E9" s="13" t="s">
        <v>173</v>
      </c>
      <c r="F9" s="13" t="s">
        <v>937</v>
      </c>
      <c r="G9" s="13" t="s">
        <v>938</v>
      </c>
      <c r="H9" s="13"/>
      <c r="I9" s="13" t="s">
        <v>939</v>
      </c>
      <c r="J9" s="13" t="s">
        <v>940</v>
      </c>
      <c r="K9" s="13" t="s">
        <v>941</v>
      </c>
      <c r="L9" s="13" t="s">
        <v>179</v>
      </c>
      <c r="M9" s="13" t="s">
        <v>48</v>
      </c>
      <c r="N9" s="15" t="s">
        <v>34</v>
      </c>
      <c r="O9" s="15"/>
      <c r="P9" s="15"/>
      <c r="Q9" s="15"/>
      <c r="R9" s="15"/>
      <c r="T9" s="0" t="n">
        <v>3</v>
      </c>
    </row>
    <row r="10" customFormat="false" ht="61.5" hidden="false" customHeight="true" outlineLevel="0" collapsed="false">
      <c r="A10" s="12" t="s">
        <v>942</v>
      </c>
      <c r="B10" s="13" t="s">
        <v>943</v>
      </c>
      <c r="C10" s="18" t="s">
        <v>45</v>
      </c>
      <c r="D10" s="13" t="s">
        <v>192</v>
      </c>
      <c r="E10" s="13" t="s">
        <v>173</v>
      </c>
      <c r="F10" s="13" t="s">
        <v>944</v>
      </c>
      <c r="G10" s="13" t="s">
        <v>945</v>
      </c>
      <c r="H10" s="13"/>
      <c r="I10" s="13" t="s">
        <v>946</v>
      </c>
      <c r="J10" s="13" t="s">
        <v>947</v>
      </c>
      <c r="K10" s="13" t="s">
        <v>948</v>
      </c>
      <c r="L10" s="13" t="s">
        <v>179</v>
      </c>
      <c r="M10" s="13" t="s">
        <v>48</v>
      </c>
      <c r="N10" s="15" t="s">
        <v>34</v>
      </c>
      <c r="O10" s="15"/>
      <c r="P10" s="15"/>
      <c r="Q10" s="15"/>
      <c r="R10" s="15"/>
      <c r="T10" s="0" t="n">
        <v>1</v>
      </c>
    </row>
    <row r="11" customFormat="false" ht="61.5" hidden="false" customHeight="true" outlineLevel="0" collapsed="false">
      <c r="A11" s="12" t="s">
        <v>949</v>
      </c>
      <c r="B11" s="13" t="s">
        <v>950</v>
      </c>
      <c r="C11" s="16" t="s">
        <v>41</v>
      </c>
      <c r="D11" s="13" t="s">
        <v>301</v>
      </c>
      <c r="E11" s="13" t="s">
        <v>173</v>
      </c>
      <c r="F11" s="13" t="s">
        <v>951</v>
      </c>
      <c r="G11" s="13" t="s">
        <v>952</v>
      </c>
      <c r="H11" s="13"/>
      <c r="I11" s="13" t="s">
        <v>953</v>
      </c>
      <c r="J11" s="13" t="s">
        <v>954</v>
      </c>
      <c r="K11" s="13" t="s">
        <v>955</v>
      </c>
      <c r="L11" s="13" t="s">
        <v>956</v>
      </c>
      <c r="M11" s="13" t="s">
        <v>50</v>
      </c>
      <c r="N11" s="15" t="s">
        <v>34</v>
      </c>
      <c r="O11" s="15"/>
      <c r="P11" s="15"/>
      <c r="Q11" s="15"/>
      <c r="R11" s="15"/>
      <c r="T11" s="0" t="n">
        <v>5</v>
      </c>
    </row>
    <row r="12" customFormat="false" ht="61.5" hidden="false" customHeight="true" outlineLevel="0" collapsed="false">
      <c r="A12" s="12" t="s">
        <v>957</v>
      </c>
      <c r="B12" s="13" t="s">
        <v>958</v>
      </c>
      <c r="C12" s="19" t="s">
        <v>43</v>
      </c>
      <c r="D12" s="13" t="s">
        <v>283</v>
      </c>
      <c r="E12" s="13" t="s">
        <v>173</v>
      </c>
      <c r="F12" s="13" t="s">
        <v>959</v>
      </c>
      <c r="G12" s="13" t="s">
        <v>960</v>
      </c>
      <c r="H12" s="13"/>
      <c r="I12" s="13" t="s">
        <v>961</v>
      </c>
      <c r="J12" s="13" t="s">
        <v>962</v>
      </c>
      <c r="K12" s="13" t="s">
        <v>963</v>
      </c>
      <c r="L12" s="13" t="s">
        <v>364</v>
      </c>
      <c r="M12" s="13" t="s">
        <v>48</v>
      </c>
      <c r="N12" s="15" t="s">
        <v>34</v>
      </c>
      <c r="O12" s="15"/>
      <c r="P12" s="15"/>
      <c r="Q12" s="15"/>
      <c r="R12" s="15"/>
      <c r="T12" s="0" t="n">
        <v>3</v>
      </c>
    </row>
  </sheetData>
  <autoFilter ref="A2:R12"/>
  <mergeCells count="1">
    <mergeCell ref="A1:H1"/>
  </mergeCells>
  <conditionalFormatting sqref="N3:N12">
    <cfRule type="cellIs" priority="2" operator="equal" aboveAverage="0" equalAverage="0" bottom="0" percent="0" rank="0" text="" dxfId="12">
      <formula>"pass"</formula>
    </cfRule>
    <cfRule type="cellIs" priority="3" operator="equal" aboveAverage="0" equalAverage="0" bottom="0" percent="0" rank="0" text="" dxfId="13">
      <formula>"partial"</formula>
    </cfRule>
    <cfRule type="cellIs" priority="4" operator="equal" aboveAverage="0" equalAverage="0" bottom="0" percent="0" rank="0" text="" dxfId="14">
      <formula>"fail"</formula>
    </cfRule>
    <cfRule type="cellIs" priority="5" operator="equal" aboveAverage="0" equalAverage="0" bottom="0" percent="0" rank="0" text="" dxfId="15">
      <formula>"na"</formula>
    </cfRule>
    <cfRule type="cellIs" priority="6" operator="equal" aboveAverage="0" equalAverage="0" bottom="0" percent="0" rank="0" text="" dxfId="16">
      <formula>"unknown"</formula>
    </cfRule>
  </conditionalFormatting>
  <dataValidations count="1">
    <dataValidation allowBlank="false" error="Choose one of: unknown, pass, partial, fail, na" errorStyle="stop" errorTitle="Invalid result" operator="between" showDropDown="false" showErrorMessage="false" showInputMessage="false" sqref="N3:N12" type="list">
      <formula1>"unknown,pass,partial,fail,na"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6"/>
    <col collapsed="false" customWidth="true" hidden="false" outlineLevel="0" max="3" min="3" style="0" width="10"/>
    <col collapsed="false" customWidth="true" hidden="false" outlineLevel="0" max="4" min="4" style="0" width="13"/>
    <col collapsed="false" customWidth="true" hidden="false" outlineLevel="0" max="5" min="5" style="0" width="22"/>
    <col collapsed="false" customWidth="true" hidden="false" outlineLevel="0" max="7" min="6" style="0" width="62"/>
    <col collapsed="false" customWidth="true" hidden="false" outlineLevel="0" max="8" min="8" style="0" width="26"/>
    <col collapsed="false" customWidth="true" hidden="false" outlineLevel="0" max="9" min="9" style="0" width="52"/>
    <col collapsed="false" customWidth="true" hidden="false" outlineLevel="0" max="10" min="10" style="0" width="58"/>
    <col collapsed="false" customWidth="true" hidden="false" outlineLevel="0" max="11" min="11" style="0" width="50"/>
    <col collapsed="false" customWidth="true" hidden="false" outlineLevel="0" max="12" min="12" style="0" width="30"/>
    <col collapsed="false" customWidth="true" hidden="false" outlineLevel="0" max="14" min="13" style="0" width="11"/>
    <col collapsed="false" customWidth="true" hidden="false" outlineLevel="0" max="15" min="15" style="0" width="26"/>
    <col collapsed="false" customWidth="true" hidden="false" outlineLevel="0" max="16" min="16" style="0" width="16"/>
    <col collapsed="false" customWidth="true" hidden="false" outlineLevel="0" max="17" min="17" style="0" width="12"/>
    <col collapsed="false" customWidth="true" hidden="false" outlineLevel="0" max="18" min="18" style="0" width="30"/>
    <col collapsed="false" customWidth="true" hidden="true" outlineLevel="0" max="20" min="20" style="0" width="13"/>
  </cols>
  <sheetData>
    <row r="1" customFormat="false" ht="17.35" hidden="false" customHeight="false" outlineLevel="0" collapsed="false">
      <c r="A1" s="9" t="s">
        <v>964</v>
      </c>
      <c r="B1" s="9"/>
      <c r="C1" s="9"/>
      <c r="D1" s="9"/>
      <c r="E1" s="9"/>
      <c r="F1" s="9"/>
      <c r="G1" s="9"/>
      <c r="H1" s="9"/>
      <c r="J1" s="10" t="s">
        <v>88</v>
      </c>
    </row>
    <row r="2" customFormat="false" ht="30" hidden="false" customHeight="true" outlineLevel="0" collapsed="false">
      <c r="A2" s="11" t="s">
        <v>89</v>
      </c>
      <c r="B2" s="11" t="s">
        <v>90</v>
      </c>
      <c r="C2" s="11" t="s">
        <v>91</v>
      </c>
      <c r="D2" s="11" t="s">
        <v>92</v>
      </c>
      <c r="E2" s="11" t="s">
        <v>93</v>
      </c>
      <c r="F2" s="11" t="s">
        <v>94</v>
      </c>
      <c r="G2" s="11" t="s">
        <v>95</v>
      </c>
      <c r="H2" s="11" t="s">
        <v>96</v>
      </c>
      <c r="I2" s="11" t="s">
        <v>97</v>
      </c>
      <c r="J2" s="11" t="s">
        <v>98</v>
      </c>
      <c r="K2" s="11" t="s">
        <v>99</v>
      </c>
      <c r="L2" s="11" t="s">
        <v>100</v>
      </c>
      <c r="M2" s="11" t="s">
        <v>101</v>
      </c>
      <c r="N2" s="11" t="s">
        <v>102</v>
      </c>
      <c r="O2" s="11" t="s">
        <v>103</v>
      </c>
      <c r="P2" s="11" t="s">
        <v>104</v>
      </c>
      <c r="Q2" s="11" t="s">
        <v>105</v>
      </c>
      <c r="R2" s="11" t="s">
        <v>106</v>
      </c>
      <c r="T2" s="10" t="s">
        <v>107</v>
      </c>
    </row>
    <row r="3" customFormat="false" ht="61.5" hidden="false" customHeight="true" outlineLevel="0" collapsed="false">
      <c r="A3" s="12" t="s">
        <v>965</v>
      </c>
      <c r="B3" s="13" t="s">
        <v>966</v>
      </c>
      <c r="C3" s="17" t="s">
        <v>39</v>
      </c>
      <c r="D3" s="13" t="s">
        <v>210</v>
      </c>
      <c r="E3" s="13" t="s">
        <v>111</v>
      </c>
      <c r="F3" s="13" t="s">
        <v>967</v>
      </c>
      <c r="G3" s="13" t="s">
        <v>968</v>
      </c>
      <c r="H3" s="13"/>
      <c r="I3" s="13" t="s">
        <v>969</v>
      </c>
      <c r="J3" s="13" t="s">
        <v>970</v>
      </c>
      <c r="K3" s="13" t="s">
        <v>971</v>
      </c>
      <c r="L3" s="13" t="s">
        <v>380</v>
      </c>
      <c r="M3" s="13" t="s">
        <v>48</v>
      </c>
      <c r="N3" s="15" t="s">
        <v>34</v>
      </c>
      <c r="O3" s="15"/>
      <c r="P3" s="15"/>
      <c r="Q3" s="15"/>
      <c r="R3" s="15"/>
      <c r="T3" s="0" t="n">
        <v>8</v>
      </c>
    </row>
    <row r="4" customFormat="false" ht="61.5" hidden="false" customHeight="true" outlineLevel="0" collapsed="false">
      <c r="A4" s="12" t="s">
        <v>972</v>
      </c>
      <c r="B4" s="13" t="s">
        <v>973</v>
      </c>
      <c r="C4" s="16" t="s">
        <v>41</v>
      </c>
      <c r="D4" s="13" t="s">
        <v>210</v>
      </c>
      <c r="E4" s="13" t="s">
        <v>111</v>
      </c>
      <c r="F4" s="13" t="s">
        <v>974</v>
      </c>
      <c r="G4" s="13" t="s">
        <v>975</v>
      </c>
      <c r="H4" s="13"/>
      <c r="I4" s="13" t="s">
        <v>976</v>
      </c>
      <c r="J4" s="13" t="s">
        <v>977</v>
      </c>
      <c r="K4" s="13" t="s">
        <v>978</v>
      </c>
      <c r="L4" s="13" t="s">
        <v>380</v>
      </c>
      <c r="M4" s="13" t="s">
        <v>48</v>
      </c>
      <c r="N4" s="15" t="s">
        <v>34</v>
      </c>
      <c r="O4" s="15"/>
      <c r="P4" s="15"/>
      <c r="Q4" s="15"/>
      <c r="R4" s="15"/>
      <c r="T4" s="0" t="n">
        <v>5</v>
      </c>
    </row>
    <row r="5" customFormat="false" ht="61.5" hidden="false" customHeight="true" outlineLevel="0" collapsed="false">
      <c r="A5" s="12" t="s">
        <v>979</v>
      </c>
      <c r="B5" s="13" t="s">
        <v>980</v>
      </c>
      <c r="C5" s="17" t="s">
        <v>39</v>
      </c>
      <c r="D5" s="13" t="s">
        <v>210</v>
      </c>
      <c r="E5" s="13" t="s">
        <v>111</v>
      </c>
      <c r="F5" s="13" t="s">
        <v>981</v>
      </c>
      <c r="G5" s="13" t="s">
        <v>982</v>
      </c>
      <c r="H5" s="13"/>
      <c r="I5" s="13" t="s">
        <v>983</v>
      </c>
      <c r="J5" s="13" t="s">
        <v>984</v>
      </c>
      <c r="K5" s="13" t="s">
        <v>985</v>
      </c>
      <c r="L5" s="13" t="s">
        <v>602</v>
      </c>
      <c r="M5" s="13" t="s">
        <v>48</v>
      </c>
      <c r="N5" s="15" t="s">
        <v>34</v>
      </c>
      <c r="O5" s="15"/>
      <c r="P5" s="15"/>
      <c r="Q5" s="15"/>
      <c r="R5" s="15"/>
      <c r="T5" s="0" t="n">
        <v>16</v>
      </c>
    </row>
    <row r="6" customFormat="false" ht="61.5" hidden="false" customHeight="true" outlineLevel="0" collapsed="false">
      <c r="A6" s="12" t="s">
        <v>986</v>
      </c>
      <c r="B6" s="13" t="s">
        <v>987</v>
      </c>
      <c r="C6" s="16" t="s">
        <v>41</v>
      </c>
      <c r="D6" s="13" t="s">
        <v>210</v>
      </c>
      <c r="E6" s="13" t="s">
        <v>111</v>
      </c>
      <c r="F6" s="13" t="s">
        <v>988</v>
      </c>
      <c r="G6" s="13" t="s">
        <v>989</v>
      </c>
      <c r="H6" s="13"/>
      <c r="I6" s="13" t="s">
        <v>990</v>
      </c>
      <c r="J6" s="13" t="s">
        <v>991</v>
      </c>
      <c r="K6" s="13" t="s">
        <v>992</v>
      </c>
      <c r="L6" s="13" t="s">
        <v>993</v>
      </c>
      <c r="M6" s="13" t="s">
        <v>50</v>
      </c>
      <c r="N6" s="15" t="s">
        <v>34</v>
      </c>
      <c r="O6" s="15"/>
      <c r="P6" s="15"/>
      <c r="Q6" s="15"/>
      <c r="R6" s="15"/>
      <c r="T6" s="0" t="n">
        <v>5</v>
      </c>
    </row>
    <row r="7" customFormat="false" ht="61.5" hidden="false" customHeight="true" outlineLevel="0" collapsed="false">
      <c r="A7" s="12" t="s">
        <v>994</v>
      </c>
      <c r="B7" s="13" t="s">
        <v>995</v>
      </c>
      <c r="C7" s="17" t="s">
        <v>39</v>
      </c>
      <c r="D7" s="13" t="s">
        <v>210</v>
      </c>
      <c r="E7" s="13" t="s">
        <v>173</v>
      </c>
      <c r="F7" s="13" t="s">
        <v>996</v>
      </c>
      <c r="G7" s="13" t="s">
        <v>997</v>
      </c>
      <c r="H7" s="13"/>
      <c r="I7" s="13" t="s">
        <v>998</v>
      </c>
      <c r="J7" s="13" t="s">
        <v>999</v>
      </c>
      <c r="K7" s="13" t="s">
        <v>1000</v>
      </c>
      <c r="L7" s="13" t="s">
        <v>218</v>
      </c>
      <c r="M7" s="13" t="s">
        <v>48</v>
      </c>
      <c r="N7" s="15" t="s">
        <v>34</v>
      </c>
      <c r="O7" s="15"/>
      <c r="P7" s="15"/>
      <c r="Q7" s="15"/>
      <c r="R7" s="15"/>
      <c r="T7" s="0" t="n">
        <v>8</v>
      </c>
    </row>
    <row r="8" customFormat="false" ht="61.5" hidden="false" customHeight="true" outlineLevel="0" collapsed="false">
      <c r="A8" s="12" t="s">
        <v>1001</v>
      </c>
      <c r="B8" s="13" t="s">
        <v>1002</v>
      </c>
      <c r="C8" s="19" t="s">
        <v>43</v>
      </c>
      <c r="D8" s="13" t="s">
        <v>210</v>
      </c>
      <c r="E8" s="13" t="s">
        <v>173</v>
      </c>
      <c r="F8" s="13" t="s">
        <v>1003</v>
      </c>
      <c r="G8" s="13" t="s">
        <v>1004</v>
      </c>
      <c r="H8" s="13"/>
      <c r="I8" s="13" t="s">
        <v>1005</v>
      </c>
      <c r="J8" s="13" t="s">
        <v>1006</v>
      </c>
      <c r="K8" s="13" t="s">
        <v>1007</v>
      </c>
      <c r="L8" s="13" t="s">
        <v>218</v>
      </c>
      <c r="M8" s="13" t="s">
        <v>48</v>
      </c>
      <c r="N8" s="15" t="s">
        <v>34</v>
      </c>
      <c r="O8" s="15"/>
      <c r="P8" s="15"/>
      <c r="Q8" s="15"/>
      <c r="R8" s="15"/>
      <c r="T8" s="0" t="n">
        <v>3</v>
      </c>
    </row>
    <row r="9" customFormat="false" ht="61.5" hidden="false" customHeight="true" outlineLevel="0" collapsed="false">
      <c r="A9" s="12" t="s">
        <v>1008</v>
      </c>
      <c r="B9" s="13" t="s">
        <v>1009</v>
      </c>
      <c r="C9" s="16" t="s">
        <v>41</v>
      </c>
      <c r="D9" s="13" t="s">
        <v>210</v>
      </c>
      <c r="E9" s="13" t="s">
        <v>211</v>
      </c>
      <c r="F9" s="13" t="s">
        <v>1010</v>
      </c>
      <c r="G9" s="13" t="s">
        <v>1011</v>
      </c>
      <c r="H9" s="13"/>
      <c r="I9" s="13" t="s">
        <v>1012</v>
      </c>
      <c r="J9" s="13" t="s">
        <v>1013</v>
      </c>
      <c r="K9" s="13" t="s">
        <v>1014</v>
      </c>
      <c r="L9" s="13" t="s">
        <v>927</v>
      </c>
      <c r="M9" s="13" t="s">
        <v>50</v>
      </c>
      <c r="N9" s="15" t="s">
        <v>34</v>
      </c>
      <c r="O9" s="15"/>
      <c r="P9" s="15"/>
      <c r="Q9" s="15"/>
      <c r="R9" s="15"/>
      <c r="T9" s="0" t="n">
        <v>5</v>
      </c>
    </row>
    <row r="10" customFormat="false" ht="61.5" hidden="false" customHeight="true" outlineLevel="0" collapsed="false">
      <c r="A10" s="12" t="s">
        <v>1015</v>
      </c>
      <c r="B10" s="13" t="s">
        <v>1016</v>
      </c>
      <c r="C10" s="16" t="s">
        <v>41</v>
      </c>
      <c r="D10" s="13" t="s">
        <v>210</v>
      </c>
      <c r="E10" s="13" t="s">
        <v>111</v>
      </c>
      <c r="F10" s="13" t="s">
        <v>1017</v>
      </c>
      <c r="G10" s="13" t="s">
        <v>1018</v>
      </c>
      <c r="H10" s="13"/>
      <c r="I10" s="13" t="s">
        <v>1019</v>
      </c>
      <c r="J10" s="13" t="s">
        <v>1020</v>
      </c>
      <c r="K10" s="13" t="s">
        <v>1021</v>
      </c>
      <c r="L10" s="13" t="s">
        <v>1022</v>
      </c>
      <c r="M10" s="13" t="s">
        <v>48</v>
      </c>
      <c r="N10" s="15" t="s">
        <v>34</v>
      </c>
      <c r="O10" s="15"/>
      <c r="P10" s="15"/>
      <c r="Q10" s="15"/>
      <c r="R10" s="15"/>
      <c r="T10" s="0" t="n">
        <v>5</v>
      </c>
    </row>
  </sheetData>
  <autoFilter ref="A2:R10"/>
  <mergeCells count="1">
    <mergeCell ref="A1:H1"/>
  </mergeCells>
  <conditionalFormatting sqref="N3:N10">
    <cfRule type="cellIs" priority="2" operator="equal" aboveAverage="0" equalAverage="0" bottom="0" percent="0" rank="0" text="" dxfId="12">
      <formula>"pass"</formula>
    </cfRule>
    <cfRule type="cellIs" priority="3" operator="equal" aboveAverage="0" equalAverage="0" bottom="0" percent="0" rank="0" text="" dxfId="13">
      <formula>"partial"</formula>
    </cfRule>
    <cfRule type="cellIs" priority="4" operator="equal" aboveAverage="0" equalAverage="0" bottom="0" percent="0" rank="0" text="" dxfId="14">
      <formula>"fail"</formula>
    </cfRule>
    <cfRule type="cellIs" priority="5" operator="equal" aboveAverage="0" equalAverage="0" bottom="0" percent="0" rank="0" text="" dxfId="15">
      <formula>"na"</formula>
    </cfRule>
    <cfRule type="cellIs" priority="6" operator="equal" aboveAverage="0" equalAverage="0" bottom="0" percent="0" rank="0" text="" dxfId="16">
      <formula>"unknown"</formula>
    </cfRule>
  </conditionalFormatting>
  <dataValidations count="1">
    <dataValidation allowBlank="false" error="Choose one of: unknown, pass, partial, fail, na" errorStyle="stop" errorTitle="Invalid result" operator="between" showDropDown="false" showErrorMessage="false" showInputMessage="false" sqref="N3:N10" type="list">
      <formula1>"unknown,pass,partial,fail,na"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6"/>
    <col collapsed="false" customWidth="true" hidden="false" outlineLevel="0" max="3" min="3" style="0" width="10"/>
    <col collapsed="false" customWidth="true" hidden="false" outlineLevel="0" max="4" min="4" style="0" width="13"/>
    <col collapsed="false" customWidth="true" hidden="false" outlineLevel="0" max="5" min="5" style="0" width="22"/>
    <col collapsed="false" customWidth="true" hidden="false" outlineLevel="0" max="7" min="6" style="0" width="62"/>
    <col collapsed="false" customWidth="true" hidden="false" outlineLevel="0" max="8" min="8" style="0" width="26"/>
    <col collapsed="false" customWidth="true" hidden="false" outlineLevel="0" max="9" min="9" style="0" width="52"/>
    <col collapsed="false" customWidth="true" hidden="false" outlineLevel="0" max="10" min="10" style="0" width="58"/>
    <col collapsed="false" customWidth="true" hidden="false" outlineLevel="0" max="11" min="11" style="0" width="50"/>
    <col collapsed="false" customWidth="true" hidden="false" outlineLevel="0" max="12" min="12" style="0" width="30"/>
    <col collapsed="false" customWidth="true" hidden="false" outlineLevel="0" max="14" min="13" style="0" width="11"/>
    <col collapsed="false" customWidth="true" hidden="false" outlineLevel="0" max="15" min="15" style="0" width="26"/>
    <col collapsed="false" customWidth="true" hidden="false" outlineLevel="0" max="16" min="16" style="0" width="16"/>
    <col collapsed="false" customWidth="true" hidden="false" outlineLevel="0" max="17" min="17" style="0" width="12"/>
    <col collapsed="false" customWidth="true" hidden="false" outlineLevel="0" max="18" min="18" style="0" width="30"/>
    <col collapsed="false" customWidth="true" hidden="true" outlineLevel="0" max="20" min="20" style="0" width="13"/>
  </cols>
  <sheetData>
    <row r="1" customFormat="false" ht="17.35" hidden="false" customHeight="false" outlineLevel="0" collapsed="false">
      <c r="A1" s="9" t="s">
        <v>1023</v>
      </c>
      <c r="B1" s="9"/>
      <c r="C1" s="9"/>
      <c r="D1" s="9"/>
      <c r="E1" s="9"/>
      <c r="F1" s="9"/>
      <c r="G1" s="9"/>
      <c r="H1" s="9"/>
      <c r="J1" s="10" t="s">
        <v>88</v>
      </c>
    </row>
    <row r="2" customFormat="false" ht="30" hidden="false" customHeight="true" outlineLevel="0" collapsed="false">
      <c r="A2" s="11" t="s">
        <v>89</v>
      </c>
      <c r="B2" s="11" t="s">
        <v>90</v>
      </c>
      <c r="C2" s="11" t="s">
        <v>91</v>
      </c>
      <c r="D2" s="11" t="s">
        <v>92</v>
      </c>
      <c r="E2" s="11" t="s">
        <v>93</v>
      </c>
      <c r="F2" s="11" t="s">
        <v>94</v>
      </c>
      <c r="G2" s="11" t="s">
        <v>95</v>
      </c>
      <c r="H2" s="11" t="s">
        <v>96</v>
      </c>
      <c r="I2" s="11" t="s">
        <v>97</v>
      </c>
      <c r="J2" s="11" t="s">
        <v>98</v>
      </c>
      <c r="K2" s="11" t="s">
        <v>99</v>
      </c>
      <c r="L2" s="11" t="s">
        <v>100</v>
      </c>
      <c r="M2" s="11" t="s">
        <v>101</v>
      </c>
      <c r="N2" s="11" t="s">
        <v>102</v>
      </c>
      <c r="O2" s="11" t="s">
        <v>103</v>
      </c>
      <c r="P2" s="11" t="s">
        <v>104</v>
      </c>
      <c r="Q2" s="11" t="s">
        <v>105</v>
      </c>
      <c r="R2" s="11" t="s">
        <v>106</v>
      </c>
      <c r="T2" s="10" t="s">
        <v>107</v>
      </c>
    </row>
    <row r="3" customFormat="false" ht="61.5" hidden="false" customHeight="true" outlineLevel="0" collapsed="false">
      <c r="A3" s="12" t="s">
        <v>1024</v>
      </c>
      <c r="B3" s="13" t="s">
        <v>1025</v>
      </c>
      <c r="C3" s="14" t="s">
        <v>37</v>
      </c>
      <c r="D3" s="13" t="s">
        <v>335</v>
      </c>
      <c r="E3" s="13" t="s">
        <v>111</v>
      </c>
      <c r="F3" s="13" t="s">
        <v>1026</v>
      </c>
      <c r="G3" s="13" t="s">
        <v>1027</v>
      </c>
      <c r="H3" s="13"/>
      <c r="I3" s="13" t="s">
        <v>1028</v>
      </c>
      <c r="J3" s="13" t="s">
        <v>1029</v>
      </c>
      <c r="K3" s="13" t="s">
        <v>1030</v>
      </c>
      <c r="L3" s="13" t="s">
        <v>1031</v>
      </c>
      <c r="M3" s="13" t="s">
        <v>48</v>
      </c>
      <c r="N3" s="15" t="s">
        <v>34</v>
      </c>
      <c r="O3" s="15"/>
      <c r="P3" s="15"/>
      <c r="Q3" s="15"/>
      <c r="R3" s="15"/>
      <c r="T3" s="0" t="n">
        <v>26</v>
      </c>
    </row>
    <row r="4" customFormat="false" ht="61.5" hidden="false" customHeight="true" outlineLevel="0" collapsed="false">
      <c r="A4" s="12" t="s">
        <v>1032</v>
      </c>
      <c r="B4" s="13" t="s">
        <v>1033</v>
      </c>
      <c r="C4" s="17" t="s">
        <v>39</v>
      </c>
      <c r="D4" s="13" t="s">
        <v>335</v>
      </c>
      <c r="E4" s="13" t="s">
        <v>111</v>
      </c>
      <c r="F4" s="13" t="s">
        <v>1034</v>
      </c>
      <c r="G4" s="13" t="s">
        <v>1035</v>
      </c>
      <c r="H4" s="13"/>
      <c r="I4" s="13" t="s">
        <v>1036</v>
      </c>
      <c r="J4" s="13" t="s">
        <v>1037</v>
      </c>
      <c r="K4" s="13" t="s">
        <v>1038</v>
      </c>
      <c r="L4" s="13" t="s">
        <v>1039</v>
      </c>
      <c r="M4" s="13" t="s">
        <v>50</v>
      </c>
      <c r="N4" s="15" t="s">
        <v>34</v>
      </c>
      <c r="O4" s="15"/>
      <c r="P4" s="15"/>
      <c r="Q4" s="15"/>
      <c r="R4" s="15"/>
      <c r="T4" s="0" t="n">
        <v>16</v>
      </c>
    </row>
    <row r="5" customFormat="false" ht="61.5" hidden="false" customHeight="true" outlineLevel="0" collapsed="false">
      <c r="A5" s="12" t="s">
        <v>1040</v>
      </c>
      <c r="B5" s="13" t="s">
        <v>1041</v>
      </c>
      <c r="C5" s="16" t="s">
        <v>41</v>
      </c>
      <c r="D5" s="13" t="s">
        <v>335</v>
      </c>
      <c r="E5" s="13" t="s">
        <v>111</v>
      </c>
      <c r="F5" s="13" t="s">
        <v>1042</v>
      </c>
      <c r="G5" s="13" t="s">
        <v>1043</v>
      </c>
      <c r="H5" s="13"/>
      <c r="I5" s="13" t="s">
        <v>1044</v>
      </c>
      <c r="J5" s="13" t="s">
        <v>1045</v>
      </c>
      <c r="K5" s="13" t="s">
        <v>1046</v>
      </c>
      <c r="L5" s="13" t="s">
        <v>1047</v>
      </c>
      <c r="M5" s="13" t="s">
        <v>50</v>
      </c>
      <c r="N5" s="15" t="s">
        <v>34</v>
      </c>
      <c r="O5" s="15"/>
      <c r="P5" s="15"/>
      <c r="Q5" s="15"/>
      <c r="R5" s="15"/>
      <c r="T5" s="0" t="n">
        <v>5</v>
      </c>
    </row>
    <row r="6" customFormat="false" ht="61.5" hidden="false" customHeight="true" outlineLevel="0" collapsed="false">
      <c r="A6" s="12" t="s">
        <v>1048</v>
      </c>
      <c r="B6" s="13" t="s">
        <v>1049</v>
      </c>
      <c r="C6" s="17" t="s">
        <v>39</v>
      </c>
      <c r="D6" s="13" t="s">
        <v>335</v>
      </c>
      <c r="E6" s="13" t="s">
        <v>111</v>
      </c>
      <c r="F6" s="13" t="s">
        <v>1050</v>
      </c>
      <c r="G6" s="13" t="s">
        <v>1051</v>
      </c>
      <c r="H6" s="13"/>
      <c r="I6" s="13" t="s">
        <v>1052</v>
      </c>
      <c r="J6" s="13" t="s">
        <v>1053</v>
      </c>
      <c r="K6" s="13" t="s">
        <v>1054</v>
      </c>
      <c r="L6" s="13" t="s">
        <v>1055</v>
      </c>
      <c r="M6" s="13" t="s">
        <v>50</v>
      </c>
      <c r="N6" s="15" t="s">
        <v>34</v>
      </c>
      <c r="O6" s="15"/>
      <c r="P6" s="15"/>
      <c r="Q6" s="15"/>
      <c r="R6" s="15"/>
      <c r="T6" s="0" t="n">
        <v>16</v>
      </c>
    </row>
    <row r="7" customFormat="false" ht="61.5" hidden="false" customHeight="true" outlineLevel="0" collapsed="false">
      <c r="A7" s="12" t="s">
        <v>1056</v>
      </c>
      <c r="B7" s="13" t="s">
        <v>1057</v>
      </c>
      <c r="C7" s="17" t="s">
        <v>39</v>
      </c>
      <c r="D7" s="13" t="s">
        <v>335</v>
      </c>
      <c r="E7" s="13" t="s">
        <v>111</v>
      </c>
      <c r="F7" s="13" t="s">
        <v>1058</v>
      </c>
      <c r="G7" s="13" t="s">
        <v>1059</v>
      </c>
      <c r="H7" s="13"/>
      <c r="I7" s="13" t="s">
        <v>1060</v>
      </c>
      <c r="J7" s="13" t="s">
        <v>1061</v>
      </c>
      <c r="K7" s="13" t="s">
        <v>1062</v>
      </c>
      <c r="L7" s="13" t="s">
        <v>380</v>
      </c>
      <c r="M7" s="13" t="s">
        <v>48</v>
      </c>
      <c r="N7" s="15" t="s">
        <v>34</v>
      </c>
      <c r="O7" s="15"/>
      <c r="P7" s="15"/>
      <c r="Q7" s="15"/>
      <c r="R7" s="15"/>
      <c r="T7" s="0" t="n">
        <v>16</v>
      </c>
    </row>
    <row r="8" customFormat="false" ht="61.5" hidden="false" customHeight="true" outlineLevel="0" collapsed="false">
      <c r="A8" s="12" t="s">
        <v>1063</v>
      </c>
      <c r="B8" s="13" t="s">
        <v>1064</v>
      </c>
      <c r="C8" s="16" t="s">
        <v>41</v>
      </c>
      <c r="D8" s="13" t="s">
        <v>335</v>
      </c>
      <c r="E8" s="13" t="s">
        <v>111</v>
      </c>
      <c r="F8" s="13" t="s">
        <v>1065</v>
      </c>
      <c r="G8" s="13" t="s">
        <v>1066</v>
      </c>
      <c r="H8" s="13"/>
      <c r="I8" s="13" t="s">
        <v>1067</v>
      </c>
      <c r="J8" s="13" t="s">
        <v>1068</v>
      </c>
      <c r="K8" s="13" t="s">
        <v>1069</v>
      </c>
      <c r="L8" s="13" t="s">
        <v>532</v>
      </c>
      <c r="M8" s="13" t="s">
        <v>48</v>
      </c>
      <c r="N8" s="15" t="s">
        <v>34</v>
      </c>
      <c r="O8" s="15"/>
      <c r="P8" s="15"/>
      <c r="Q8" s="15"/>
      <c r="R8" s="15"/>
      <c r="T8" s="0" t="n">
        <v>5</v>
      </c>
    </row>
    <row r="9" customFormat="false" ht="61.5" hidden="false" customHeight="true" outlineLevel="0" collapsed="false">
      <c r="A9" s="12" t="s">
        <v>1070</v>
      </c>
      <c r="B9" s="13" t="s">
        <v>1071</v>
      </c>
      <c r="C9" s="16" t="s">
        <v>41</v>
      </c>
      <c r="D9" s="13" t="s">
        <v>129</v>
      </c>
      <c r="E9" s="13" t="s">
        <v>111</v>
      </c>
      <c r="F9" s="13" t="s">
        <v>1072</v>
      </c>
      <c r="G9" s="13" t="s">
        <v>1073</v>
      </c>
      <c r="H9" s="13"/>
      <c r="I9" s="13" t="s">
        <v>1074</v>
      </c>
      <c r="J9" s="13" t="s">
        <v>1075</v>
      </c>
      <c r="K9" s="13" t="s">
        <v>1076</v>
      </c>
      <c r="L9" s="13" t="s">
        <v>1077</v>
      </c>
      <c r="M9" s="13" t="s">
        <v>48</v>
      </c>
      <c r="N9" s="15" t="s">
        <v>34</v>
      </c>
      <c r="O9" s="15"/>
      <c r="P9" s="15"/>
      <c r="Q9" s="15"/>
      <c r="R9" s="15"/>
      <c r="T9" s="0" t="n">
        <v>5</v>
      </c>
    </row>
    <row r="10" customFormat="false" ht="61.5" hidden="false" customHeight="true" outlineLevel="0" collapsed="false">
      <c r="A10" s="12" t="s">
        <v>1078</v>
      </c>
      <c r="B10" s="13" t="s">
        <v>1079</v>
      </c>
      <c r="C10" s="19" t="s">
        <v>43</v>
      </c>
      <c r="D10" s="13" t="s">
        <v>129</v>
      </c>
      <c r="E10" s="13" t="s">
        <v>111</v>
      </c>
      <c r="F10" s="13" t="s">
        <v>1080</v>
      </c>
      <c r="G10" s="13" t="s">
        <v>1081</v>
      </c>
      <c r="H10" s="13"/>
      <c r="I10" s="13" t="s">
        <v>1082</v>
      </c>
      <c r="J10" s="13" t="s">
        <v>1083</v>
      </c>
      <c r="K10" s="13" t="s">
        <v>1084</v>
      </c>
      <c r="L10" s="13" t="s">
        <v>1085</v>
      </c>
      <c r="M10" s="13" t="s">
        <v>48</v>
      </c>
      <c r="N10" s="15" t="s">
        <v>34</v>
      </c>
      <c r="O10" s="15"/>
      <c r="P10" s="15"/>
      <c r="Q10" s="15"/>
      <c r="R10" s="15"/>
      <c r="T10" s="0" t="n">
        <v>3</v>
      </c>
    </row>
    <row r="11" customFormat="false" ht="61.5" hidden="false" customHeight="true" outlineLevel="0" collapsed="false">
      <c r="A11" s="12" t="s">
        <v>1086</v>
      </c>
      <c r="B11" s="13" t="s">
        <v>1087</v>
      </c>
      <c r="C11" s="19" t="s">
        <v>43</v>
      </c>
      <c r="D11" s="13" t="s">
        <v>129</v>
      </c>
      <c r="E11" s="13" t="s">
        <v>111</v>
      </c>
      <c r="F11" s="13" t="s">
        <v>1088</v>
      </c>
      <c r="G11" s="13" t="s">
        <v>1089</v>
      </c>
      <c r="H11" s="13"/>
      <c r="I11" s="13" t="s">
        <v>1090</v>
      </c>
      <c r="J11" s="13" t="s">
        <v>1091</v>
      </c>
      <c r="K11" s="13" t="s">
        <v>1092</v>
      </c>
      <c r="L11" s="13" t="s">
        <v>1085</v>
      </c>
      <c r="M11" s="13" t="s">
        <v>48</v>
      </c>
      <c r="N11" s="15" t="s">
        <v>34</v>
      </c>
      <c r="O11" s="15"/>
      <c r="P11" s="15"/>
      <c r="Q11" s="15"/>
      <c r="R11" s="15"/>
      <c r="T11" s="0" t="n">
        <v>3</v>
      </c>
    </row>
    <row r="12" customFormat="false" ht="61.5" hidden="false" customHeight="true" outlineLevel="0" collapsed="false">
      <c r="A12" s="12" t="s">
        <v>1093</v>
      </c>
      <c r="B12" s="13" t="s">
        <v>1094</v>
      </c>
      <c r="C12" s="17" t="s">
        <v>39</v>
      </c>
      <c r="D12" s="13" t="s">
        <v>335</v>
      </c>
      <c r="E12" s="13" t="s">
        <v>111</v>
      </c>
      <c r="F12" s="13" t="s">
        <v>1095</v>
      </c>
      <c r="G12" s="13" t="s">
        <v>1096</v>
      </c>
      <c r="H12" s="13"/>
      <c r="I12" s="13" t="s">
        <v>1097</v>
      </c>
      <c r="J12" s="13" t="s">
        <v>1098</v>
      </c>
      <c r="K12" s="13" t="s">
        <v>1099</v>
      </c>
      <c r="L12" s="13" t="s">
        <v>1047</v>
      </c>
      <c r="M12" s="13" t="s">
        <v>50</v>
      </c>
      <c r="N12" s="15" t="s">
        <v>34</v>
      </c>
      <c r="O12" s="15"/>
      <c r="P12" s="15"/>
      <c r="Q12" s="15"/>
      <c r="R12" s="15"/>
      <c r="T12" s="0" t="n">
        <v>16</v>
      </c>
    </row>
    <row r="13" customFormat="false" ht="61.5" hidden="false" customHeight="true" outlineLevel="0" collapsed="false">
      <c r="A13" s="12" t="s">
        <v>1100</v>
      </c>
      <c r="B13" s="13" t="s">
        <v>1101</v>
      </c>
      <c r="C13" s="16" t="s">
        <v>41</v>
      </c>
      <c r="D13" s="13" t="s">
        <v>428</v>
      </c>
      <c r="E13" s="13" t="s">
        <v>111</v>
      </c>
      <c r="F13" s="13" t="s">
        <v>1102</v>
      </c>
      <c r="G13" s="13" t="s">
        <v>1103</v>
      </c>
      <c r="H13" s="13"/>
      <c r="I13" s="13" t="s">
        <v>1104</v>
      </c>
      <c r="J13" s="13" t="s">
        <v>1105</v>
      </c>
      <c r="K13" s="13" t="s">
        <v>1106</v>
      </c>
      <c r="L13" s="13" t="s">
        <v>297</v>
      </c>
      <c r="M13" s="13" t="s">
        <v>48</v>
      </c>
      <c r="N13" s="15" t="s">
        <v>34</v>
      </c>
      <c r="O13" s="15"/>
      <c r="P13" s="15"/>
      <c r="Q13" s="15"/>
      <c r="R13" s="15"/>
      <c r="T13" s="0" t="n">
        <v>5</v>
      </c>
    </row>
    <row r="14" customFormat="false" ht="61.5" hidden="false" customHeight="true" outlineLevel="0" collapsed="false">
      <c r="A14" s="12" t="s">
        <v>1107</v>
      </c>
      <c r="B14" s="13" t="s">
        <v>1108</v>
      </c>
      <c r="C14" s="19" t="s">
        <v>43</v>
      </c>
      <c r="D14" s="13" t="s">
        <v>335</v>
      </c>
      <c r="E14" s="13" t="s">
        <v>140</v>
      </c>
      <c r="F14" s="13" t="s">
        <v>1109</v>
      </c>
      <c r="G14" s="13" t="s">
        <v>1110</v>
      </c>
      <c r="H14" s="13"/>
      <c r="I14" s="13" t="s">
        <v>1111</v>
      </c>
      <c r="J14" s="13" t="s">
        <v>1112</v>
      </c>
      <c r="K14" s="13" t="s">
        <v>1113</v>
      </c>
      <c r="L14" s="13" t="s">
        <v>256</v>
      </c>
      <c r="M14" s="13" t="s">
        <v>48</v>
      </c>
      <c r="N14" s="15" t="s">
        <v>34</v>
      </c>
      <c r="O14" s="15"/>
      <c r="P14" s="15"/>
      <c r="Q14" s="15"/>
      <c r="R14" s="15"/>
      <c r="T14" s="0" t="n">
        <v>3</v>
      </c>
    </row>
    <row r="15" customFormat="false" ht="61.5" hidden="false" customHeight="true" outlineLevel="0" collapsed="false">
      <c r="A15" s="12" t="s">
        <v>1114</v>
      </c>
      <c r="B15" s="13" t="s">
        <v>1115</v>
      </c>
      <c r="C15" s="18" t="s">
        <v>45</v>
      </c>
      <c r="D15" s="13" t="s">
        <v>129</v>
      </c>
      <c r="E15" s="13" t="s">
        <v>140</v>
      </c>
      <c r="F15" s="13" t="s">
        <v>1116</v>
      </c>
      <c r="G15" s="13" t="s">
        <v>1117</v>
      </c>
      <c r="H15" s="13"/>
      <c r="I15" s="13" t="s">
        <v>1118</v>
      </c>
      <c r="J15" s="13" t="s">
        <v>1119</v>
      </c>
      <c r="K15" s="13" t="s">
        <v>1120</v>
      </c>
      <c r="L15" s="13" t="s">
        <v>256</v>
      </c>
      <c r="M15" s="13" t="s">
        <v>48</v>
      </c>
      <c r="N15" s="15" t="s">
        <v>34</v>
      </c>
      <c r="O15" s="15"/>
      <c r="P15" s="15"/>
      <c r="Q15" s="15"/>
      <c r="R15" s="15"/>
      <c r="T15" s="0" t="n">
        <v>1</v>
      </c>
    </row>
  </sheetData>
  <autoFilter ref="A2:R15"/>
  <mergeCells count="1">
    <mergeCell ref="A1:H1"/>
  </mergeCells>
  <conditionalFormatting sqref="N3:N15">
    <cfRule type="cellIs" priority="2" operator="equal" aboveAverage="0" equalAverage="0" bottom="0" percent="0" rank="0" text="" dxfId="12">
      <formula>"pass"</formula>
    </cfRule>
    <cfRule type="cellIs" priority="3" operator="equal" aboveAverage="0" equalAverage="0" bottom="0" percent="0" rank="0" text="" dxfId="13">
      <formula>"partial"</formula>
    </cfRule>
    <cfRule type="cellIs" priority="4" operator="equal" aboveAverage="0" equalAverage="0" bottom="0" percent="0" rank="0" text="" dxfId="14">
      <formula>"fail"</formula>
    </cfRule>
    <cfRule type="cellIs" priority="5" operator="equal" aboveAverage="0" equalAverage="0" bottom="0" percent="0" rank="0" text="" dxfId="15">
      <formula>"na"</formula>
    </cfRule>
    <cfRule type="cellIs" priority="6" operator="equal" aboveAverage="0" equalAverage="0" bottom="0" percent="0" rank="0" text="" dxfId="16">
      <formula>"unknown"</formula>
    </cfRule>
  </conditionalFormatting>
  <dataValidations count="1">
    <dataValidation allowBlank="false" error="Choose one of: unknown, pass, partial, fail, na" errorStyle="stop" errorTitle="Invalid result" operator="between" showDropDown="false" showErrorMessage="false" showInputMessage="false" sqref="N3:N15" type="list">
      <formula1>"unknown,pass,partial,fail,na"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6"/>
    <col collapsed="false" customWidth="true" hidden="false" outlineLevel="0" max="3" min="3" style="0" width="10"/>
    <col collapsed="false" customWidth="true" hidden="false" outlineLevel="0" max="4" min="4" style="0" width="13"/>
    <col collapsed="false" customWidth="true" hidden="false" outlineLevel="0" max="5" min="5" style="0" width="22"/>
    <col collapsed="false" customWidth="true" hidden="false" outlineLevel="0" max="7" min="6" style="0" width="62"/>
    <col collapsed="false" customWidth="true" hidden="false" outlineLevel="0" max="8" min="8" style="0" width="26"/>
    <col collapsed="false" customWidth="true" hidden="false" outlineLevel="0" max="9" min="9" style="0" width="52"/>
    <col collapsed="false" customWidth="true" hidden="false" outlineLevel="0" max="10" min="10" style="0" width="58"/>
    <col collapsed="false" customWidth="true" hidden="false" outlineLevel="0" max="11" min="11" style="0" width="50"/>
    <col collapsed="false" customWidth="true" hidden="false" outlineLevel="0" max="12" min="12" style="0" width="30"/>
    <col collapsed="false" customWidth="true" hidden="false" outlineLevel="0" max="14" min="13" style="0" width="11"/>
    <col collapsed="false" customWidth="true" hidden="false" outlineLevel="0" max="15" min="15" style="0" width="26"/>
    <col collapsed="false" customWidth="true" hidden="false" outlineLevel="0" max="16" min="16" style="0" width="16"/>
    <col collapsed="false" customWidth="true" hidden="false" outlineLevel="0" max="17" min="17" style="0" width="12"/>
    <col collapsed="false" customWidth="true" hidden="false" outlineLevel="0" max="18" min="18" style="0" width="30"/>
    <col collapsed="false" customWidth="true" hidden="true" outlineLevel="0" max="20" min="20" style="0" width="13"/>
  </cols>
  <sheetData>
    <row r="1" customFormat="false" ht="17.35" hidden="false" customHeight="false" outlineLevel="0" collapsed="false">
      <c r="A1" s="9" t="s">
        <v>1121</v>
      </c>
      <c r="B1" s="9"/>
      <c r="C1" s="9"/>
      <c r="D1" s="9"/>
      <c r="E1" s="9"/>
      <c r="F1" s="9"/>
      <c r="G1" s="9"/>
      <c r="H1" s="9"/>
      <c r="J1" s="10" t="s">
        <v>88</v>
      </c>
    </row>
    <row r="2" customFormat="false" ht="30" hidden="false" customHeight="true" outlineLevel="0" collapsed="false">
      <c r="A2" s="11" t="s">
        <v>89</v>
      </c>
      <c r="B2" s="11" t="s">
        <v>90</v>
      </c>
      <c r="C2" s="11" t="s">
        <v>91</v>
      </c>
      <c r="D2" s="11" t="s">
        <v>92</v>
      </c>
      <c r="E2" s="11" t="s">
        <v>93</v>
      </c>
      <c r="F2" s="11" t="s">
        <v>94</v>
      </c>
      <c r="G2" s="11" t="s">
        <v>95</v>
      </c>
      <c r="H2" s="11" t="s">
        <v>96</v>
      </c>
      <c r="I2" s="11" t="s">
        <v>97</v>
      </c>
      <c r="J2" s="11" t="s">
        <v>98</v>
      </c>
      <c r="K2" s="11" t="s">
        <v>99</v>
      </c>
      <c r="L2" s="11" t="s">
        <v>100</v>
      </c>
      <c r="M2" s="11" t="s">
        <v>101</v>
      </c>
      <c r="N2" s="11" t="s">
        <v>102</v>
      </c>
      <c r="O2" s="11" t="s">
        <v>103</v>
      </c>
      <c r="P2" s="11" t="s">
        <v>104</v>
      </c>
      <c r="Q2" s="11" t="s">
        <v>105</v>
      </c>
      <c r="R2" s="11" t="s">
        <v>106</v>
      </c>
      <c r="T2" s="10" t="s">
        <v>107</v>
      </c>
    </row>
    <row r="3" customFormat="false" ht="61.5" hidden="false" customHeight="true" outlineLevel="0" collapsed="false">
      <c r="A3" s="12" t="s">
        <v>1122</v>
      </c>
      <c r="B3" s="13" t="s">
        <v>1123</v>
      </c>
      <c r="C3" s="16" t="s">
        <v>41</v>
      </c>
      <c r="D3" s="13" t="s">
        <v>428</v>
      </c>
      <c r="E3" s="13" t="s">
        <v>111</v>
      </c>
      <c r="F3" s="13" t="s">
        <v>1124</v>
      </c>
      <c r="G3" s="13" t="s">
        <v>1125</v>
      </c>
      <c r="H3" s="13"/>
      <c r="I3" s="13" t="s">
        <v>1126</v>
      </c>
      <c r="J3" s="13" t="s">
        <v>1127</v>
      </c>
      <c r="K3" s="13" t="s">
        <v>1128</v>
      </c>
      <c r="L3" s="13" t="s">
        <v>1129</v>
      </c>
      <c r="M3" s="13" t="s">
        <v>48</v>
      </c>
      <c r="N3" s="15" t="s">
        <v>34</v>
      </c>
      <c r="O3" s="15"/>
      <c r="P3" s="15"/>
      <c r="Q3" s="15"/>
      <c r="R3" s="15"/>
      <c r="T3" s="0" t="n">
        <v>5</v>
      </c>
    </row>
    <row r="4" customFormat="false" ht="61.5" hidden="false" customHeight="true" outlineLevel="0" collapsed="false">
      <c r="A4" s="12" t="s">
        <v>1130</v>
      </c>
      <c r="B4" s="13" t="s">
        <v>1131</v>
      </c>
      <c r="C4" s="16" t="s">
        <v>41</v>
      </c>
      <c r="D4" s="13" t="s">
        <v>428</v>
      </c>
      <c r="E4" s="13" t="s">
        <v>111</v>
      </c>
      <c r="F4" s="13" t="s">
        <v>1132</v>
      </c>
      <c r="G4" s="13" t="s">
        <v>1133</v>
      </c>
      <c r="H4" s="13"/>
      <c r="I4" s="13" t="s">
        <v>1134</v>
      </c>
      <c r="J4" s="13" t="s">
        <v>1135</v>
      </c>
      <c r="K4" s="13" t="s">
        <v>1136</v>
      </c>
      <c r="L4" s="13" t="s">
        <v>1137</v>
      </c>
      <c r="M4" s="13" t="s">
        <v>50</v>
      </c>
      <c r="N4" s="15" t="s">
        <v>34</v>
      </c>
      <c r="O4" s="15"/>
      <c r="P4" s="15"/>
      <c r="Q4" s="15"/>
      <c r="R4" s="15"/>
      <c r="T4" s="0" t="n">
        <v>5</v>
      </c>
    </row>
    <row r="5" customFormat="false" ht="61.5" hidden="false" customHeight="true" outlineLevel="0" collapsed="false">
      <c r="A5" s="12" t="s">
        <v>1138</v>
      </c>
      <c r="B5" s="13" t="s">
        <v>1139</v>
      </c>
      <c r="C5" s="16" t="s">
        <v>41</v>
      </c>
      <c r="D5" s="13" t="s">
        <v>129</v>
      </c>
      <c r="E5" s="13" t="s">
        <v>111</v>
      </c>
      <c r="F5" s="13" t="s">
        <v>1140</v>
      </c>
      <c r="G5" s="13" t="s">
        <v>1141</v>
      </c>
      <c r="H5" s="13"/>
      <c r="I5" s="13" t="s">
        <v>1142</v>
      </c>
      <c r="J5" s="13" t="s">
        <v>1143</v>
      </c>
      <c r="K5" s="13" t="s">
        <v>1144</v>
      </c>
      <c r="L5" s="13" t="s">
        <v>1145</v>
      </c>
      <c r="M5" s="13" t="s">
        <v>50</v>
      </c>
      <c r="N5" s="15" t="s">
        <v>34</v>
      </c>
      <c r="O5" s="15"/>
      <c r="P5" s="15"/>
      <c r="Q5" s="15"/>
      <c r="R5" s="15"/>
      <c r="T5" s="0" t="n">
        <v>5</v>
      </c>
    </row>
    <row r="6" customFormat="false" ht="61.5" hidden="false" customHeight="true" outlineLevel="0" collapsed="false">
      <c r="A6" s="12" t="s">
        <v>1146</v>
      </c>
      <c r="B6" s="13" t="s">
        <v>1147</v>
      </c>
      <c r="C6" s="16" t="s">
        <v>41</v>
      </c>
      <c r="D6" s="13" t="s">
        <v>129</v>
      </c>
      <c r="E6" s="13" t="s">
        <v>111</v>
      </c>
      <c r="F6" s="13" t="s">
        <v>1148</v>
      </c>
      <c r="G6" s="13" t="s">
        <v>1149</v>
      </c>
      <c r="H6" s="13"/>
      <c r="I6" s="13" t="s">
        <v>1150</v>
      </c>
      <c r="J6" s="13" t="s">
        <v>1151</v>
      </c>
      <c r="K6" s="13" t="s">
        <v>1152</v>
      </c>
      <c r="L6" s="13" t="s">
        <v>248</v>
      </c>
      <c r="M6" s="13" t="s">
        <v>50</v>
      </c>
      <c r="N6" s="15" t="s">
        <v>34</v>
      </c>
      <c r="O6" s="15"/>
      <c r="P6" s="15"/>
      <c r="Q6" s="15"/>
      <c r="R6" s="15"/>
      <c r="T6" s="0" t="n">
        <v>5</v>
      </c>
    </row>
    <row r="7" customFormat="false" ht="61.5" hidden="false" customHeight="true" outlineLevel="0" collapsed="false">
      <c r="A7" s="12" t="s">
        <v>1153</v>
      </c>
      <c r="B7" s="13" t="s">
        <v>1154</v>
      </c>
      <c r="C7" s="19" t="s">
        <v>43</v>
      </c>
      <c r="D7" s="13" t="s">
        <v>129</v>
      </c>
      <c r="E7" s="13" t="s">
        <v>111</v>
      </c>
      <c r="F7" s="13" t="s">
        <v>1155</v>
      </c>
      <c r="G7" s="13" t="s">
        <v>1156</v>
      </c>
      <c r="H7" s="13"/>
      <c r="I7" s="13" t="s">
        <v>1157</v>
      </c>
      <c r="J7" s="13" t="s">
        <v>1158</v>
      </c>
      <c r="K7" s="13" t="s">
        <v>1159</v>
      </c>
      <c r="L7" s="13" t="s">
        <v>1160</v>
      </c>
      <c r="M7" s="13" t="s">
        <v>48</v>
      </c>
      <c r="N7" s="15" t="s">
        <v>34</v>
      </c>
      <c r="O7" s="15"/>
      <c r="P7" s="15"/>
      <c r="Q7" s="15"/>
      <c r="R7" s="15"/>
      <c r="T7" s="0" t="n">
        <v>3</v>
      </c>
    </row>
    <row r="8" customFormat="false" ht="61.5" hidden="false" customHeight="true" outlineLevel="0" collapsed="false">
      <c r="A8" s="12" t="s">
        <v>1161</v>
      </c>
      <c r="B8" s="13" t="s">
        <v>1162</v>
      </c>
      <c r="C8" s="17" t="s">
        <v>39</v>
      </c>
      <c r="D8" s="13" t="s">
        <v>742</v>
      </c>
      <c r="E8" s="13" t="s">
        <v>111</v>
      </c>
      <c r="F8" s="13" t="s">
        <v>1163</v>
      </c>
      <c r="G8" s="13" t="s">
        <v>1164</v>
      </c>
      <c r="H8" s="13"/>
      <c r="I8" s="13" t="s">
        <v>1165</v>
      </c>
      <c r="J8" s="13" t="s">
        <v>1166</v>
      </c>
      <c r="K8" s="13" t="s">
        <v>1167</v>
      </c>
      <c r="L8" s="13" t="s">
        <v>1168</v>
      </c>
      <c r="M8" s="13" t="s">
        <v>48</v>
      </c>
      <c r="N8" s="15" t="s">
        <v>34</v>
      </c>
      <c r="O8" s="15"/>
      <c r="P8" s="15"/>
      <c r="Q8" s="15"/>
      <c r="R8" s="15"/>
      <c r="T8" s="0" t="n">
        <v>8</v>
      </c>
    </row>
    <row r="9" customFormat="false" ht="61.5" hidden="false" customHeight="true" outlineLevel="0" collapsed="false">
      <c r="A9" s="12" t="s">
        <v>1169</v>
      </c>
      <c r="B9" s="13" t="s">
        <v>1170</v>
      </c>
      <c r="C9" s="19" t="s">
        <v>43</v>
      </c>
      <c r="D9" s="13" t="s">
        <v>428</v>
      </c>
      <c r="E9" s="13" t="s">
        <v>140</v>
      </c>
      <c r="F9" s="13" t="s">
        <v>1171</v>
      </c>
      <c r="G9" s="13" t="s">
        <v>1172</v>
      </c>
      <c r="H9" s="13"/>
      <c r="I9" s="13" t="s">
        <v>1173</v>
      </c>
      <c r="J9" s="13" t="s">
        <v>1174</v>
      </c>
      <c r="K9" s="13" t="s">
        <v>1175</v>
      </c>
      <c r="L9" s="13" t="s">
        <v>1176</v>
      </c>
      <c r="M9" s="13" t="s">
        <v>48</v>
      </c>
      <c r="N9" s="15" t="s">
        <v>34</v>
      </c>
      <c r="O9" s="15"/>
      <c r="P9" s="15"/>
      <c r="Q9" s="15"/>
      <c r="R9" s="15"/>
      <c r="T9" s="0" t="n">
        <v>3</v>
      </c>
    </row>
  </sheetData>
  <autoFilter ref="A2:R9"/>
  <mergeCells count="1">
    <mergeCell ref="A1:H1"/>
  </mergeCells>
  <conditionalFormatting sqref="N3:N9">
    <cfRule type="cellIs" priority="2" operator="equal" aboveAverage="0" equalAverage="0" bottom="0" percent="0" rank="0" text="" dxfId="12">
      <formula>"pass"</formula>
    </cfRule>
    <cfRule type="cellIs" priority="3" operator="equal" aboveAverage="0" equalAverage="0" bottom="0" percent="0" rank="0" text="" dxfId="13">
      <formula>"partial"</formula>
    </cfRule>
    <cfRule type="cellIs" priority="4" operator="equal" aboveAverage="0" equalAverage="0" bottom="0" percent="0" rank="0" text="" dxfId="14">
      <formula>"fail"</formula>
    </cfRule>
    <cfRule type="cellIs" priority="5" operator="equal" aboveAverage="0" equalAverage="0" bottom="0" percent="0" rank="0" text="" dxfId="15">
      <formula>"na"</formula>
    </cfRule>
    <cfRule type="cellIs" priority="6" operator="equal" aboveAverage="0" equalAverage="0" bottom="0" percent="0" rank="0" text="" dxfId="16">
      <formula>"unknown"</formula>
    </cfRule>
  </conditionalFormatting>
  <dataValidations count="1">
    <dataValidation allowBlank="false" error="Choose one of: unknown, pass, partial, fail, na" errorStyle="stop" errorTitle="Invalid result" operator="between" showDropDown="false" showErrorMessage="false" showInputMessage="false" sqref="N3:N9" type="list">
      <formula1>"unknown,pass,partial,fail,na"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6"/>
    <col collapsed="false" customWidth="true" hidden="false" outlineLevel="0" max="3" min="3" style="0" width="10"/>
    <col collapsed="false" customWidth="true" hidden="false" outlineLevel="0" max="4" min="4" style="0" width="13"/>
    <col collapsed="false" customWidth="true" hidden="false" outlineLevel="0" max="5" min="5" style="0" width="22"/>
    <col collapsed="false" customWidth="true" hidden="false" outlineLevel="0" max="7" min="6" style="0" width="62"/>
    <col collapsed="false" customWidth="true" hidden="false" outlineLevel="0" max="8" min="8" style="0" width="26"/>
    <col collapsed="false" customWidth="true" hidden="false" outlineLevel="0" max="9" min="9" style="0" width="52"/>
    <col collapsed="false" customWidth="true" hidden="false" outlineLevel="0" max="10" min="10" style="0" width="58"/>
    <col collapsed="false" customWidth="true" hidden="false" outlineLevel="0" max="11" min="11" style="0" width="50"/>
    <col collapsed="false" customWidth="true" hidden="false" outlineLevel="0" max="12" min="12" style="0" width="30"/>
    <col collapsed="false" customWidth="true" hidden="false" outlineLevel="0" max="14" min="13" style="0" width="11"/>
    <col collapsed="false" customWidth="true" hidden="false" outlineLevel="0" max="15" min="15" style="0" width="26"/>
    <col collapsed="false" customWidth="true" hidden="false" outlineLevel="0" max="16" min="16" style="0" width="16"/>
    <col collapsed="false" customWidth="true" hidden="false" outlineLevel="0" max="17" min="17" style="0" width="12"/>
    <col collapsed="false" customWidth="true" hidden="false" outlineLevel="0" max="18" min="18" style="0" width="30"/>
  </cols>
  <sheetData>
    <row r="1" customFormat="false" ht="17.35" hidden="false" customHeight="false" outlineLevel="0" collapsed="false">
      <c r="A1" s="1" t="s">
        <v>1177</v>
      </c>
    </row>
    <row r="2" customFormat="false" ht="30" hidden="false" customHeight="true" outlineLevel="0" collapsed="false">
      <c r="A2" s="11" t="s">
        <v>89</v>
      </c>
      <c r="B2" s="11" t="s">
        <v>90</v>
      </c>
      <c r="C2" s="11" t="s">
        <v>91</v>
      </c>
      <c r="D2" s="11" t="s">
        <v>92</v>
      </c>
      <c r="E2" s="11" t="s">
        <v>93</v>
      </c>
      <c r="F2" s="11" t="s">
        <v>94</v>
      </c>
      <c r="G2" s="11" t="s">
        <v>95</v>
      </c>
      <c r="H2" s="11" t="s">
        <v>96</v>
      </c>
      <c r="I2" s="11" t="s">
        <v>97</v>
      </c>
      <c r="J2" s="11" t="s">
        <v>98</v>
      </c>
      <c r="K2" s="11" t="s">
        <v>99</v>
      </c>
      <c r="L2" s="11" t="s">
        <v>100</v>
      </c>
      <c r="M2" s="11" t="s">
        <v>101</v>
      </c>
      <c r="N2" s="11" t="s">
        <v>102</v>
      </c>
      <c r="O2" s="11" t="s">
        <v>103</v>
      </c>
      <c r="P2" s="11" t="s">
        <v>104</v>
      </c>
      <c r="Q2" s="11" t="s">
        <v>105</v>
      </c>
      <c r="R2" s="11" t="s">
        <v>106</v>
      </c>
    </row>
    <row r="3" customFormat="false" ht="23.85" hidden="false" customHeight="false" outlineLevel="0" collapsed="false">
      <c r="A3" s="20" t="s">
        <v>1178</v>
      </c>
      <c r="B3" s="20" t="s">
        <v>1179</v>
      </c>
      <c r="C3" s="20" t="s">
        <v>41</v>
      </c>
      <c r="D3" s="20" t="s">
        <v>301</v>
      </c>
      <c r="E3" s="20" t="s">
        <v>140</v>
      </c>
      <c r="F3" s="20" t="s">
        <v>1180</v>
      </c>
      <c r="G3" s="20" t="s">
        <v>1181</v>
      </c>
      <c r="H3" s="20" t="s">
        <v>1182</v>
      </c>
      <c r="I3" s="20" t="s">
        <v>1183</v>
      </c>
      <c r="J3" s="20" t="s">
        <v>1184</v>
      </c>
      <c r="K3" s="20" t="s">
        <v>1185</v>
      </c>
      <c r="L3" s="20" t="s">
        <v>1186</v>
      </c>
      <c r="M3" s="20" t="s">
        <v>50</v>
      </c>
      <c r="N3" s="20" t="s">
        <v>26</v>
      </c>
      <c r="O3" s="20" t="s">
        <v>1187</v>
      </c>
      <c r="P3" s="20" t="s">
        <v>1188</v>
      </c>
      <c r="Q3" s="20" t="s">
        <v>1189</v>
      </c>
      <c r="R3" s="20" t="s">
        <v>1190</v>
      </c>
    </row>
    <row r="4" customFormat="false" ht="61.5" hidden="false" customHeight="true" outlineLevel="0" collapsed="false">
      <c r="A4" s="12" t="s">
        <v>108</v>
      </c>
      <c r="B4" s="13" t="s">
        <v>109</v>
      </c>
      <c r="C4" s="14" t="s">
        <v>37</v>
      </c>
      <c r="D4" s="13" t="s">
        <v>110</v>
      </c>
      <c r="E4" s="13" t="s">
        <v>111</v>
      </c>
      <c r="F4" s="13" t="s">
        <v>112</v>
      </c>
      <c r="G4" s="13" t="s">
        <v>113</v>
      </c>
      <c r="H4" s="13"/>
      <c r="I4" s="13" t="s">
        <v>114</v>
      </c>
      <c r="J4" s="13" t="s">
        <v>115</v>
      </c>
      <c r="K4" s="13" t="s">
        <v>116</v>
      </c>
      <c r="L4" s="13" t="s">
        <v>117</v>
      </c>
      <c r="M4" s="13" t="s">
        <v>48</v>
      </c>
      <c r="N4" s="15" t="s">
        <v>34</v>
      </c>
      <c r="O4" s="15"/>
      <c r="P4" s="15"/>
      <c r="Q4" s="15"/>
      <c r="R4" s="15" t="s">
        <v>118</v>
      </c>
    </row>
    <row r="5" customFormat="false" ht="61.5" hidden="false" customHeight="true" outlineLevel="0" collapsed="false">
      <c r="A5" s="12" t="s">
        <v>119</v>
      </c>
      <c r="B5" s="13" t="s">
        <v>120</v>
      </c>
      <c r="C5" s="14" t="s">
        <v>37</v>
      </c>
      <c r="D5" s="13" t="s">
        <v>110</v>
      </c>
      <c r="E5" s="13" t="s">
        <v>111</v>
      </c>
      <c r="F5" s="13" t="s">
        <v>121</v>
      </c>
      <c r="G5" s="13" t="s">
        <v>122</v>
      </c>
      <c r="H5" s="13"/>
      <c r="I5" s="13" t="s">
        <v>123</v>
      </c>
      <c r="J5" s="13" t="s">
        <v>124</v>
      </c>
      <c r="K5" s="13" t="s">
        <v>125</v>
      </c>
      <c r="L5" s="13" t="s">
        <v>126</v>
      </c>
      <c r="M5" s="13" t="s">
        <v>48</v>
      </c>
      <c r="N5" s="15" t="s">
        <v>34</v>
      </c>
      <c r="O5" s="15"/>
      <c r="P5" s="15"/>
      <c r="Q5" s="15"/>
      <c r="R5" s="15"/>
    </row>
    <row r="6" customFormat="false" ht="61.5" hidden="false" customHeight="true" outlineLevel="0" collapsed="false">
      <c r="A6" s="12" t="s">
        <v>127</v>
      </c>
      <c r="B6" s="13" t="s">
        <v>128</v>
      </c>
      <c r="C6" s="16" t="s">
        <v>41</v>
      </c>
      <c r="D6" s="13" t="s">
        <v>129</v>
      </c>
      <c r="E6" s="13" t="s">
        <v>130</v>
      </c>
      <c r="F6" s="13" t="s">
        <v>131</v>
      </c>
      <c r="G6" s="13" t="s">
        <v>132</v>
      </c>
      <c r="H6" s="13" t="s">
        <v>133</v>
      </c>
      <c r="I6" s="13" t="s">
        <v>134</v>
      </c>
      <c r="J6" s="13" t="s">
        <v>135</v>
      </c>
      <c r="K6" s="13" t="s">
        <v>136</v>
      </c>
      <c r="L6" s="13" t="s">
        <v>137</v>
      </c>
      <c r="M6" s="13" t="s">
        <v>48</v>
      </c>
      <c r="N6" s="15" t="s">
        <v>34</v>
      </c>
      <c r="O6" s="15"/>
      <c r="P6" s="15"/>
      <c r="Q6" s="15"/>
      <c r="R6" s="15"/>
    </row>
    <row r="7" customFormat="false" ht="61.5" hidden="false" customHeight="true" outlineLevel="0" collapsed="false">
      <c r="A7" s="12" t="s">
        <v>138</v>
      </c>
      <c r="B7" s="13" t="s">
        <v>139</v>
      </c>
      <c r="C7" s="17" t="s">
        <v>39</v>
      </c>
      <c r="D7" s="13" t="s">
        <v>129</v>
      </c>
      <c r="E7" s="13" t="s">
        <v>140</v>
      </c>
      <c r="F7" s="13" t="s">
        <v>141</v>
      </c>
      <c r="G7" s="13" t="s">
        <v>142</v>
      </c>
      <c r="H7" s="13"/>
      <c r="I7" s="13" t="s">
        <v>143</v>
      </c>
      <c r="J7" s="13" t="s">
        <v>144</v>
      </c>
      <c r="K7" s="13" t="s">
        <v>145</v>
      </c>
      <c r="L7" s="13" t="s">
        <v>146</v>
      </c>
      <c r="M7" s="13" t="s">
        <v>48</v>
      </c>
      <c r="N7" s="15" t="s">
        <v>34</v>
      </c>
      <c r="O7" s="15"/>
      <c r="P7" s="15"/>
      <c r="Q7" s="15"/>
      <c r="R7" s="15"/>
    </row>
    <row r="8" customFormat="false" ht="61.5" hidden="false" customHeight="true" outlineLevel="0" collapsed="false">
      <c r="A8" s="12" t="s">
        <v>147</v>
      </c>
      <c r="B8" s="13" t="s">
        <v>148</v>
      </c>
      <c r="C8" s="16" t="s">
        <v>41</v>
      </c>
      <c r="D8" s="13" t="s">
        <v>129</v>
      </c>
      <c r="E8" s="13" t="s">
        <v>140</v>
      </c>
      <c r="F8" s="13" t="s">
        <v>149</v>
      </c>
      <c r="G8" s="13" t="s">
        <v>150</v>
      </c>
      <c r="H8" s="13"/>
      <c r="I8" s="13" t="s">
        <v>151</v>
      </c>
      <c r="J8" s="13" t="s">
        <v>152</v>
      </c>
      <c r="K8" s="13" t="s">
        <v>153</v>
      </c>
      <c r="L8" s="13" t="s">
        <v>154</v>
      </c>
      <c r="M8" s="13" t="s">
        <v>48</v>
      </c>
      <c r="N8" s="15" t="s">
        <v>34</v>
      </c>
      <c r="O8" s="15"/>
      <c r="P8" s="15"/>
      <c r="Q8" s="15"/>
      <c r="R8" s="15"/>
    </row>
    <row r="9" customFormat="false" ht="61.5" hidden="false" customHeight="true" outlineLevel="0" collapsed="false">
      <c r="A9" s="12" t="s">
        <v>155</v>
      </c>
      <c r="B9" s="13" t="s">
        <v>156</v>
      </c>
      <c r="C9" s="16" t="s">
        <v>41</v>
      </c>
      <c r="D9" s="13" t="s">
        <v>129</v>
      </c>
      <c r="E9" s="13" t="s">
        <v>111</v>
      </c>
      <c r="F9" s="13" t="s">
        <v>157</v>
      </c>
      <c r="G9" s="13" t="s">
        <v>158</v>
      </c>
      <c r="H9" s="13"/>
      <c r="I9" s="13" t="s">
        <v>159</v>
      </c>
      <c r="J9" s="13" t="s">
        <v>160</v>
      </c>
      <c r="K9" s="13" t="s">
        <v>161</v>
      </c>
      <c r="L9" s="13" t="s">
        <v>162</v>
      </c>
      <c r="M9" s="13" t="s">
        <v>48</v>
      </c>
      <c r="N9" s="15" t="s">
        <v>34</v>
      </c>
      <c r="O9" s="15"/>
      <c r="P9" s="15"/>
      <c r="Q9" s="15"/>
      <c r="R9" s="15"/>
    </row>
    <row r="10" customFormat="false" ht="61.5" hidden="false" customHeight="true" outlineLevel="0" collapsed="false">
      <c r="A10" s="12" t="s">
        <v>163</v>
      </c>
      <c r="B10" s="13" t="s">
        <v>164</v>
      </c>
      <c r="C10" s="16" t="s">
        <v>41</v>
      </c>
      <c r="D10" s="13" t="s">
        <v>129</v>
      </c>
      <c r="E10" s="13" t="s">
        <v>111</v>
      </c>
      <c r="F10" s="13" t="s">
        <v>165</v>
      </c>
      <c r="G10" s="13" t="s">
        <v>166</v>
      </c>
      <c r="H10" s="13"/>
      <c r="I10" s="13" t="s">
        <v>167</v>
      </c>
      <c r="J10" s="13" t="s">
        <v>168</v>
      </c>
      <c r="K10" s="13" t="s">
        <v>169</v>
      </c>
      <c r="L10" s="13" t="s">
        <v>170</v>
      </c>
      <c r="M10" s="13" t="s">
        <v>48</v>
      </c>
      <c r="N10" s="15" t="s">
        <v>34</v>
      </c>
      <c r="O10" s="15"/>
      <c r="P10" s="15"/>
      <c r="Q10" s="15"/>
      <c r="R10" s="15"/>
    </row>
    <row r="11" customFormat="false" ht="61.5" hidden="false" customHeight="true" outlineLevel="0" collapsed="false">
      <c r="A11" s="12" t="s">
        <v>171</v>
      </c>
      <c r="B11" s="13" t="s">
        <v>172</v>
      </c>
      <c r="C11" s="17" t="s">
        <v>39</v>
      </c>
      <c r="D11" s="13" t="s">
        <v>129</v>
      </c>
      <c r="E11" s="13" t="s">
        <v>173</v>
      </c>
      <c r="F11" s="13" t="s">
        <v>174</v>
      </c>
      <c r="G11" s="13" t="s">
        <v>175</v>
      </c>
      <c r="H11" s="13"/>
      <c r="I11" s="13" t="s">
        <v>176</v>
      </c>
      <c r="J11" s="13" t="s">
        <v>177</v>
      </c>
      <c r="K11" s="13" t="s">
        <v>178</v>
      </c>
      <c r="L11" s="13" t="s">
        <v>179</v>
      </c>
      <c r="M11" s="13" t="s">
        <v>48</v>
      </c>
      <c r="N11" s="15" t="s">
        <v>34</v>
      </c>
      <c r="O11" s="15"/>
      <c r="P11" s="15"/>
      <c r="Q11" s="15"/>
      <c r="R11" s="15"/>
    </row>
    <row r="12" customFormat="false" ht="61.5" hidden="false" customHeight="true" outlineLevel="0" collapsed="false">
      <c r="A12" s="12" t="s">
        <v>180</v>
      </c>
      <c r="B12" s="13" t="s">
        <v>181</v>
      </c>
      <c r="C12" s="18" t="s">
        <v>45</v>
      </c>
      <c r="D12" s="13" t="s">
        <v>129</v>
      </c>
      <c r="E12" s="13" t="s">
        <v>111</v>
      </c>
      <c r="F12" s="13" t="s">
        <v>182</v>
      </c>
      <c r="G12" s="13" t="s">
        <v>183</v>
      </c>
      <c r="H12" s="13" t="s">
        <v>184</v>
      </c>
      <c r="I12" s="13" t="s">
        <v>185</v>
      </c>
      <c r="J12" s="13" t="s">
        <v>186</v>
      </c>
      <c r="K12" s="13" t="s">
        <v>187</v>
      </c>
      <c r="L12" s="13" t="s">
        <v>188</v>
      </c>
      <c r="M12" s="13" t="s">
        <v>48</v>
      </c>
      <c r="N12" s="15" t="s">
        <v>34</v>
      </c>
      <c r="O12" s="15"/>
      <c r="P12" s="15"/>
      <c r="Q12" s="15"/>
      <c r="R12" s="15"/>
    </row>
    <row r="13" customFormat="false" ht="61.5" hidden="false" customHeight="true" outlineLevel="0" collapsed="false">
      <c r="A13" s="12" t="s">
        <v>190</v>
      </c>
      <c r="B13" s="13" t="s">
        <v>191</v>
      </c>
      <c r="C13" s="14" t="s">
        <v>37</v>
      </c>
      <c r="D13" s="13" t="s">
        <v>192</v>
      </c>
      <c r="E13" s="13" t="s">
        <v>111</v>
      </c>
      <c r="F13" s="13" t="s">
        <v>193</v>
      </c>
      <c r="G13" s="13" t="s">
        <v>194</v>
      </c>
      <c r="H13" s="13" t="s">
        <v>195</v>
      </c>
      <c r="I13" s="13" t="s">
        <v>196</v>
      </c>
      <c r="J13" s="13" t="s">
        <v>197</v>
      </c>
      <c r="K13" s="13" t="s">
        <v>198</v>
      </c>
      <c r="L13" s="13" t="s">
        <v>199</v>
      </c>
      <c r="M13" s="13" t="s">
        <v>48</v>
      </c>
      <c r="N13" s="15" t="s">
        <v>34</v>
      </c>
      <c r="O13" s="15"/>
      <c r="P13" s="15"/>
      <c r="Q13" s="15"/>
      <c r="R13" s="15"/>
    </row>
    <row r="14" customFormat="false" ht="61.5" hidden="false" customHeight="true" outlineLevel="0" collapsed="false">
      <c r="A14" s="12" t="s">
        <v>200</v>
      </c>
      <c r="B14" s="13" t="s">
        <v>201</v>
      </c>
      <c r="C14" s="14" t="s">
        <v>37</v>
      </c>
      <c r="D14" s="13" t="s">
        <v>192</v>
      </c>
      <c r="E14" s="13" t="s">
        <v>173</v>
      </c>
      <c r="F14" s="13" t="s">
        <v>202</v>
      </c>
      <c r="G14" s="13" t="s">
        <v>203</v>
      </c>
      <c r="H14" s="13"/>
      <c r="I14" s="13" t="s">
        <v>204</v>
      </c>
      <c r="J14" s="13" t="s">
        <v>205</v>
      </c>
      <c r="K14" s="13" t="s">
        <v>206</v>
      </c>
      <c r="L14" s="13" t="s">
        <v>207</v>
      </c>
      <c r="M14" s="13" t="s">
        <v>48</v>
      </c>
      <c r="N14" s="15" t="s">
        <v>34</v>
      </c>
      <c r="O14" s="15"/>
      <c r="P14" s="15"/>
      <c r="Q14" s="15"/>
      <c r="R14" s="15"/>
    </row>
    <row r="15" customFormat="false" ht="61.5" hidden="false" customHeight="true" outlineLevel="0" collapsed="false">
      <c r="A15" s="12" t="s">
        <v>208</v>
      </c>
      <c r="B15" s="13" t="s">
        <v>209</v>
      </c>
      <c r="C15" s="17" t="s">
        <v>39</v>
      </c>
      <c r="D15" s="13" t="s">
        <v>210</v>
      </c>
      <c r="E15" s="13" t="s">
        <v>211</v>
      </c>
      <c r="F15" s="13" t="s">
        <v>212</v>
      </c>
      <c r="G15" s="13" t="s">
        <v>213</v>
      </c>
      <c r="H15" s="13" t="s">
        <v>214</v>
      </c>
      <c r="I15" s="13" t="s">
        <v>215</v>
      </c>
      <c r="J15" s="13" t="s">
        <v>216</v>
      </c>
      <c r="K15" s="13" t="s">
        <v>217</v>
      </c>
      <c r="L15" s="13" t="s">
        <v>218</v>
      </c>
      <c r="M15" s="13" t="s">
        <v>48</v>
      </c>
      <c r="N15" s="15" t="s">
        <v>34</v>
      </c>
      <c r="O15" s="15"/>
      <c r="P15" s="15"/>
      <c r="Q15" s="15"/>
      <c r="R15" s="15"/>
    </row>
    <row r="16" customFormat="false" ht="61.5" hidden="false" customHeight="true" outlineLevel="0" collapsed="false">
      <c r="A16" s="12" t="s">
        <v>219</v>
      </c>
      <c r="B16" s="13" t="s">
        <v>220</v>
      </c>
      <c r="C16" s="16" t="s">
        <v>41</v>
      </c>
      <c r="D16" s="13" t="s">
        <v>210</v>
      </c>
      <c r="E16" s="13" t="s">
        <v>211</v>
      </c>
      <c r="F16" s="13" t="s">
        <v>221</v>
      </c>
      <c r="G16" s="13" t="s">
        <v>222</v>
      </c>
      <c r="H16" s="13"/>
      <c r="I16" s="13" t="s">
        <v>223</v>
      </c>
      <c r="J16" s="13" t="s">
        <v>224</v>
      </c>
      <c r="K16" s="13" t="s">
        <v>225</v>
      </c>
      <c r="L16" s="13" t="s">
        <v>218</v>
      </c>
      <c r="M16" s="13" t="s">
        <v>48</v>
      </c>
      <c r="N16" s="15" t="s">
        <v>34</v>
      </c>
      <c r="O16" s="15"/>
      <c r="P16" s="15"/>
      <c r="Q16" s="15"/>
      <c r="R16" s="15"/>
    </row>
    <row r="17" customFormat="false" ht="61.5" hidden="false" customHeight="true" outlineLevel="0" collapsed="false">
      <c r="A17" s="12" t="s">
        <v>226</v>
      </c>
      <c r="B17" s="13" t="s">
        <v>227</v>
      </c>
      <c r="C17" s="17" t="s">
        <v>39</v>
      </c>
      <c r="D17" s="13" t="s">
        <v>192</v>
      </c>
      <c r="E17" s="13" t="s">
        <v>111</v>
      </c>
      <c r="F17" s="13" t="s">
        <v>228</v>
      </c>
      <c r="G17" s="13" t="s">
        <v>229</v>
      </c>
      <c r="H17" s="13"/>
      <c r="I17" s="13" t="s">
        <v>230</v>
      </c>
      <c r="J17" s="13" t="s">
        <v>231</v>
      </c>
      <c r="K17" s="13" t="s">
        <v>232</v>
      </c>
      <c r="L17" s="13" t="s">
        <v>170</v>
      </c>
      <c r="M17" s="13" t="s">
        <v>48</v>
      </c>
      <c r="N17" s="15" t="s">
        <v>34</v>
      </c>
      <c r="O17" s="15"/>
      <c r="P17" s="15"/>
      <c r="Q17" s="15"/>
      <c r="R17" s="15"/>
    </row>
    <row r="18" customFormat="false" ht="61.5" hidden="false" customHeight="true" outlineLevel="0" collapsed="false">
      <c r="A18" s="12" t="s">
        <v>233</v>
      </c>
      <c r="B18" s="13" t="s">
        <v>234</v>
      </c>
      <c r="C18" s="19" t="s">
        <v>43</v>
      </c>
      <c r="D18" s="13" t="s">
        <v>129</v>
      </c>
      <c r="E18" s="13" t="s">
        <v>173</v>
      </c>
      <c r="F18" s="13" t="s">
        <v>235</v>
      </c>
      <c r="G18" s="13" t="s">
        <v>236</v>
      </c>
      <c r="H18" s="13"/>
      <c r="I18" s="13" t="s">
        <v>237</v>
      </c>
      <c r="J18" s="13" t="s">
        <v>238</v>
      </c>
      <c r="K18" s="13" t="s">
        <v>239</v>
      </c>
      <c r="L18" s="13" t="s">
        <v>179</v>
      </c>
      <c r="M18" s="13" t="s">
        <v>48</v>
      </c>
      <c r="N18" s="15" t="s">
        <v>34</v>
      </c>
      <c r="O18" s="15"/>
      <c r="P18" s="15"/>
      <c r="Q18" s="15"/>
      <c r="R18" s="15"/>
    </row>
    <row r="19" customFormat="false" ht="61.5" hidden="false" customHeight="true" outlineLevel="0" collapsed="false">
      <c r="A19" s="12" t="s">
        <v>241</v>
      </c>
      <c r="B19" s="13" t="s">
        <v>242</v>
      </c>
      <c r="C19" s="17" t="s">
        <v>39</v>
      </c>
      <c r="D19" s="13" t="s">
        <v>129</v>
      </c>
      <c r="E19" s="13" t="s">
        <v>111</v>
      </c>
      <c r="F19" s="13" t="s">
        <v>243</v>
      </c>
      <c r="G19" s="13" t="s">
        <v>244</v>
      </c>
      <c r="H19" s="13"/>
      <c r="I19" s="13" t="s">
        <v>245</v>
      </c>
      <c r="J19" s="13" t="s">
        <v>246</v>
      </c>
      <c r="K19" s="13" t="s">
        <v>247</v>
      </c>
      <c r="L19" s="13" t="s">
        <v>248</v>
      </c>
      <c r="M19" s="13" t="s">
        <v>50</v>
      </c>
      <c r="N19" s="15" t="s">
        <v>34</v>
      </c>
      <c r="O19" s="15"/>
      <c r="P19" s="15"/>
      <c r="Q19" s="15"/>
      <c r="R19" s="15"/>
    </row>
    <row r="20" customFormat="false" ht="61.5" hidden="false" customHeight="true" outlineLevel="0" collapsed="false">
      <c r="A20" s="12" t="s">
        <v>249</v>
      </c>
      <c r="B20" s="13" t="s">
        <v>250</v>
      </c>
      <c r="C20" s="16" t="s">
        <v>41</v>
      </c>
      <c r="D20" s="13" t="s">
        <v>129</v>
      </c>
      <c r="E20" s="13" t="s">
        <v>111</v>
      </c>
      <c r="F20" s="13" t="s">
        <v>251</v>
      </c>
      <c r="G20" s="13" t="s">
        <v>252</v>
      </c>
      <c r="H20" s="13"/>
      <c r="I20" s="13" t="s">
        <v>253</v>
      </c>
      <c r="J20" s="13" t="s">
        <v>254</v>
      </c>
      <c r="K20" s="13" t="s">
        <v>255</v>
      </c>
      <c r="L20" s="13" t="s">
        <v>256</v>
      </c>
      <c r="M20" s="13" t="s">
        <v>48</v>
      </c>
      <c r="N20" s="15" t="s">
        <v>34</v>
      </c>
      <c r="O20" s="15"/>
      <c r="P20" s="15"/>
      <c r="Q20" s="15"/>
      <c r="R20" s="15"/>
    </row>
    <row r="21" customFormat="false" ht="61.5" hidden="false" customHeight="true" outlineLevel="0" collapsed="false">
      <c r="A21" s="12" t="s">
        <v>257</v>
      </c>
      <c r="B21" s="13" t="s">
        <v>258</v>
      </c>
      <c r="C21" s="16" t="s">
        <v>41</v>
      </c>
      <c r="D21" s="13" t="s">
        <v>129</v>
      </c>
      <c r="E21" s="13" t="s">
        <v>140</v>
      </c>
      <c r="F21" s="13" t="s">
        <v>259</v>
      </c>
      <c r="G21" s="13" t="s">
        <v>260</v>
      </c>
      <c r="H21" s="13"/>
      <c r="I21" s="13" t="s">
        <v>261</v>
      </c>
      <c r="J21" s="13" t="s">
        <v>262</v>
      </c>
      <c r="K21" s="13" t="s">
        <v>263</v>
      </c>
      <c r="L21" s="13" t="s">
        <v>264</v>
      </c>
      <c r="M21" s="13" t="s">
        <v>50</v>
      </c>
      <c r="N21" s="15" t="s">
        <v>34</v>
      </c>
      <c r="O21" s="15"/>
      <c r="P21" s="15"/>
      <c r="Q21" s="15"/>
      <c r="R21" s="15"/>
    </row>
    <row r="22" customFormat="false" ht="61.5" hidden="false" customHeight="true" outlineLevel="0" collapsed="false">
      <c r="A22" s="12" t="s">
        <v>265</v>
      </c>
      <c r="B22" s="13" t="s">
        <v>266</v>
      </c>
      <c r="C22" s="17" t="s">
        <v>39</v>
      </c>
      <c r="D22" s="13" t="s">
        <v>129</v>
      </c>
      <c r="E22" s="13" t="s">
        <v>140</v>
      </c>
      <c r="F22" s="13" t="s">
        <v>267</v>
      </c>
      <c r="G22" s="13" t="s">
        <v>268</v>
      </c>
      <c r="H22" s="13"/>
      <c r="I22" s="13" t="s">
        <v>269</v>
      </c>
      <c r="J22" s="13" t="s">
        <v>270</v>
      </c>
      <c r="K22" s="13" t="s">
        <v>271</v>
      </c>
      <c r="L22" s="13" t="s">
        <v>272</v>
      </c>
      <c r="M22" s="13" t="s">
        <v>48</v>
      </c>
      <c r="N22" s="15" t="s">
        <v>34</v>
      </c>
      <c r="O22" s="15"/>
      <c r="P22" s="15"/>
      <c r="Q22" s="15"/>
      <c r="R22" s="15"/>
    </row>
    <row r="23" customFormat="false" ht="61.5" hidden="false" customHeight="true" outlineLevel="0" collapsed="false">
      <c r="A23" s="12" t="s">
        <v>273</v>
      </c>
      <c r="B23" s="13" t="s">
        <v>274</v>
      </c>
      <c r="C23" s="18" t="s">
        <v>45</v>
      </c>
      <c r="D23" s="13" t="s">
        <v>192</v>
      </c>
      <c r="E23" s="13" t="s">
        <v>140</v>
      </c>
      <c r="F23" s="13" t="s">
        <v>275</v>
      </c>
      <c r="G23" s="13" t="s">
        <v>276</v>
      </c>
      <c r="H23" s="13"/>
      <c r="I23" s="13" t="s">
        <v>277</v>
      </c>
      <c r="J23" s="13" t="s">
        <v>278</v>
      </c>
      <c r="K23" s="13" t="s">
        <v>279</v>
      </c>
      <c r="L23" s="13" t="s">
        <v>280</v>
      </c>
      <c r="M23" s="13" t="s">
        <v>48</v>
      </c>
      <c r="N23" s="15" t="s">
        <v>34</v>
      </c>
      <c r="O23" s="15"/>
      <c r="P23" s="15"/>
      <c r="Q23" s="15"/>
      <c r="R23" s="15"/>
    </row>
    <row r="24" customFormat="false" ht="61.5" hidden="false" customHeight="true" outlineLevel="0" collapsed="false">
      <c r="A24" s="12" t="s">
        <v>281</v>
      </c>
      <c r="B24" s="13" t="s">
        <v>282</v>
      </c>
      <c r="C24" s="16" t="s">
        <v>41</v>
      </c>
      <c r="D24" s="13" t="s">
        <v>283</v>
      </c>
      <c r="E24" s="13" t="s">
        <v>140</v>
      </c>
      <c r="F24" s="13" t="s">
        <v>284</v>
      </c>
      <c r="G24" s="13" t="s">
        <v>285</v>
      </c>
      <c r="H24" s="13"/>
      <c r="I24" s="13" t="s">
        <v>286</v>
      </c>
      <c r="J24" s="13" t="s">
        <v>287</v>
      </c>
      <c r="K24" s="13" t="s">
        <v>288</v>
      </c>
      <c r="L24" s="13" t="s">
        <v>289</v>
      </c>
      <c r="M24" s="13" t="s">
        <v>48</v>
      </c>
      <c r="N24" s="15" t="s">
        <v>34</v>
      </c>
      <c r="O24" s="15"/>
      <c r="P24" s="15"/>
      <c r="Q24" s="15"/>
      <c r="R24" s="15"/>
    </row>
    <row r="25" customFormat="false" ht="61.5" hidden="false" customHeight="true" outlineLevel="0" collapsed="false">
      <c r="A25" s="12" t="s">
        <v>290</v>
      </c>
      <c r="B25" s="13" t="s">
        <v>291</v>
      </c>
      <c r="C25" s="19" t="s">
        <v>43</v>
      </c>
      <c r="D25" s="13" t="s">
        <v>283</v>
      </c>
      <c r="E25" s="13" t="s">
        <v>140</v>
      </c>
      <c r="F25" s="13" t="s">
        <v>292</v>
      </c>
      <c r="G25" s="13" t="s">
        <v>293</v>
      </c>
      <c r="H25" s="13"/>
      <c r="I25" s="13" t="s">
        <v>294</v>
      </c>
      <c r="J25" s="13" t="s">
        <v>295</v>
      </c>
      <c r="K25" s="13" t="s">
        <v>296</v>
      </c>
      <c r="L25" s="13" t="s">
        <v>297</v>
      </c>
      <c r="M25" s="13" t="s">
        <v>48</v>
      </c>
      <c r="N25" s="15" t="s">
        <v>34</v>
      </c>
      <c r="O25" s="15"/>
      <c r="P25" s="15"/>
      <c r="Q25" s="15"/>
      <c r="R25" s="15"/>
    </row>
    <row r="26" customFormat="false" ht="61.5" hidden="false" customHeight="true" outlineLevel="0" collapsed="false">
      <c r="A26" s="12" t="s">
        <v>299</v>
      </c>
      <c r="B26" s="13" t="s">
        <v>300</v>
      </c>
      <c r="C26" s="14" t="s">
        <v>37</v>
      </c>
      <c r="D26" s="13" t="s">
        <v>301</v>
      </c>
      <c r="E26" s="13" t="s">
        <v>111</v>
      </c>
      <c r="F26" s="13" t="s">
        <v>302</v>
      </c>
      <c r="G26" s="13" t="s">
        <v>303</v>
      </c>
      <c r="H26" s="13"/>
      <c r="I26" s="13" t="s">
        <v>304</v>
      </c>
      <c r="J26" s="13" t="s">
        <v>305</v>
      </c>
      <c r="K26" s="13" t="s">
        <v>306</v>
      </c>
      <c r="L26" s="13" t="s">
        <v>307</v>
      </c>
      <c r="M26" s="13" t="s">
        <v>48</v>
      </c>
      <c r="N26" s="15" t="s">
        <v>34</v>
      </c>
      <c r="O26" s="15"/>
      <c r="P26" s="15"/>
      <c r="Q26" s="15"/>
      <c r="R26" s="15"/>
    </row>
    <row r="27" customFormat="false" ht="61.5" hidden="false" customHeight="true" outlineLevel="0" collapsed="false">
      <c r="A27" s="12" t="s">
        <v>308</v>
      </c>
      <c r="B27" s="13" t="s">
        <v>309</v>
      </c>
      <c r="C27" s="17" t="s">
        <v>39</v>
      </c>
      <c r="D27" s="13" t="s">
        <v>192</v>
      </c>
      <c r="E27" s="13" t="s">
        <v>111</v>
      </c>
      <c r="F27" s="13" t="s">
        <v>310</v>
      </c>
      <c r="G27" s="13" t="s">
        <v>311</v>
      </c>
      <c r="H27" s="13" t="s">
        <v>312</v>
      </c>
      <c r="I27" s="13" t="s">
        <v>313</v>
      </c>
      <c r="J27" s="13" t="s">
        <v>314</v>
      </c>
      <c r="K27" s="13" t="s">
        <v>315</v>
      </c>
      <c r="L27" s="13" t="s">
        <v>316</v>
      </c>
      <c r="M27" s="13" t="s">
        <v>48</v>
      </c>
      <c r="N27" s="15" t="s">
        <v>34</v>
      </c>
      <c r="O27" s="15"/>
      <c r="P27" s="15"/>
      <c r="Q27" s="15"/>
      <c r="R27" s="15"/>
    </row>
    <row r="28" customFormat="false" ht="61.5" hidden="false" customHeight="true" outlineLevel="0" collapsed="false">
      <c r="A28" s="12" t="s">
        <v>317</v>
      </c>
      <c r="B28" s="13" t="s">
        <v>318</v>
      </c>
      <c r="C28" s="17" t="s">
        <v>39</v>
      </c>
      <c r="D28" s="13" t="s">
        <v>192</v>
      </c>
      <c r="E28" s="13" t="s">
        <v>140</v>
      </c>
      <c r="F28" s="13" t="s">
        <v>319</v>
      </c>
      <c r="G28" s="13" t="s">
        <v>320</v>
      </c>
      <c r="H28" s="13" t="s">
        <v>321</v>
      </c>
      <c r="I28" s="13" t="s">
        <v>322</v>
      </c>
      <c r="J28" s="13" t="s">
        <v>323</v>
      </c>
      <c r="K28" s="13" t="s">
        <v>324</v>
      </c>
      <c r="L28" s="13" t="s">
        <v>316</v>
      </c>
      <c r="M28" s="13" t="s">
        <v>48</v>
      </c>
      <c r="N28" s="15" t="s">
        <v>34</v>
      </c>
      <c r="O28" s="15"/>
      <c r="P28" s="15"/>
      <c r="Q28" s="15"/>
      <c r="R28" s="15"/>
    </row>
    <row r="29" customFormat="false" ht="61.5" hidden="false" customHeight="true" outlineLevel="0" collapsed="false">
      <c r="A29" s="12" t="s">
        <v>325</v>
      </c>
      <c r="B29" s="13" t="s">
        <v>326</v>
      </c>
      <c r="C29" s="16" t="s">
        <v>41</v>
      </c>
      <c r="D29" s="13" t="s">
        <v>192</v>
      </c>
      <c r="E29" s="13" t="s">
        <v>140</v>
      </c>
      <c r="F29" s="13" t="s">
        <v>327</v>
      </c>
      <c r="G29" s="13" t="s">
        <v>328</v>
      </c>
      <c r="H29" s="13" t="s">
        <v>329</v>
      </c>
      <c r="I29" s="13" t="s">
        <v>330</v>
      </c>
      <c r="J29" s="13" t="s">
        <v>331</v>
      </c>
      <c r="K29" s="13" t="s">
        <v>332</v>
      </c>
      <c r="L29" s="13" t="s">
        <v>316</v>
      </c>
      <c r="M29" s="13" t="s">
        <v>48</v>
      </c>
      <c r="N29" s="15" t="s">
        <v>34</v>
      </c>
      <c r="O29" s="15"/>
      <c r="P29" s="15"/>
      <c r="Q29" s="15"/>
      <c r="R29" s="15"/>
    </row>
    <row r="30" customFormat="false" ht="61.5" hidden="false" customHeight="true" outlineLevel="0" collapsed="false">
      <c r="A30" s="12" t="s">
        <v>333</v>
      </c>
      <c r="B30" s="13" t="s">
        <v>334</v>
      </c>
      <c r="C30" s="17" t="s">
        <v>39</v>
      </c>
      <c r="D30" s="13" t="s">
        <v>335</v>
      </c>
      <c r="E30" s="13" t="s">
        <v>140</v>
      </c>
      <c r="F30" s="13" t="s">
        <v>336</v>
      </c>
      <c r="G30" s="13" t="s">
        <v>337</v>
      </c>
      <c r="H30" s="13"/>
      <c r="I30" s="13" t="s">
        <v>338</v>
      </c>
      <c r="J30" s="13" t="s">
        <v>339</v>
      </c>
      <c r="K30" s="13" t="s">
        <v>340</v>
      </c>
      <c r="L30" s="13" t="s">
        <v>316</v>
      </c>
      <c r="M30" s="13" t="s">
        <v>48</v>
      </c>
      <c r="N30" s="15" t="s">
        <v>34</v>
      </c>
      <c r="O30" s="15"/>
      <c r="P30" s="15"/>
      <c r="Q30" s="15"/>
      <c r="R30" s="15"/>
    </row>
    <row r="31" customFormat="false" ht="61.5" hidden="false" customHeight="true" outlineLevel="0" collapsed="false">
      <c r="A31" s="12" t="s">
        <v>341</v>
      </c>
      <c r="B31" s="13" t="s">
        <v>342</v>
      </c>
      <c r="C31" s="16" t="s">
        <v>41</v>
      </c>
      <c r="D31" s="13" t="s">
        <v>343</v>
      </c>
      <c r="E31" s="13" t="s">
        <v>111</v>
      </c>
      <c r="F31" s="13" t="s">
        <v>344</v>
      </c>
      <c r="G31" s="13" t="s">
        <v>345</v>
      </c>
      <c r="H31" s="13"/>
      <c r="I31" s="13" t="s">
        <v>346</v>
      </c>
      <c r="J31" s="13" t="s">
        <v>347</v>
      </c>
      <c r="K31" s="13" t="s">
        <v>348</v>
      </c>
      <c r="L31" s="13" t="s">
        <v>349</v>
      </c>
      <c r="M31" s="13" t="s">
        <v>48</v>
      </c>
      <c r="N31" s="15" t="s">
        <v>34</v>
      </c>
      <c r="O31" s="15"/>
      <c r="P31" s="15"/>
      <c r="Q31" s="15"/>
      <c r="R31" s="15"/>
    </row>
    <row r="32" customFormat="false" ht="61.5" hidden="false" customHeight="true" outlineLevel="0" collapsed="false">
      <c r="A32" s="12" t="s">
        <v>350</v>
      </c>
      <c r="B32" s="13" t="s">
        <v>351</v>
      </c>
      <c r="C32" s="16" t="s">
        <v>41</v>
      </c>
      <c r="D32" s="13" t="s">
        <v>343</v>
      </c>
      <c r="E32" s="13" t="s">
        <v>140</v>
      </c>
      <c r="F32" s="13" t="s">
        <v>352</v>
      </c>
      <c r="G32" s="13" t="s">
        <v>353</v>
      </c>
      <c r="H32" s="13"/>
      <c r="I32" s="13" t="s">
        <v>354</v>
      </c>
      <c r="J32" s="13" t="s">
        <v>355</v>
      </c>
      <c r="K32" s="13" t="s">
        <v>356</v>
      </c>
      <c r="L32" s="13" t="s">
        <v>297</v>
      </c>
      <c r="M32" s="13" t="s">
        <v>48</v>
      </c>
      <c r="N32" s="15" t="s">
        <v>34</v>
      </c>
      <c r="O32" s="15"/>
      <c r="P32" s="15"/>
      <c r="Q32" s="15"/>
      <c r="R32" s="15"/>
    </row>
    <row r="33" customFormat="false" ht="61.5" hidden="false" customHeight="true" outlineLevel="0" collapsed="false">
      <c r="A33" s="12" t="s">
        <v>357</v>
      </c>
      <c r="B33" s="13" t="s">
        <v>358</v>
      </c>
      <c r="C33" s="16" t="s">
        <v>41</v>
      </c>
      <c r="D33" s="13" t="s">
        <v>343</v>
      </c>
      <c r="E33" s="13" t="s">
        <v>111</v>
      </c>
      <c r="F33" s="13" t="s">
        <v>359</v>
      </c>
      <c r="G33" s="13" t="s">
        <v>360</v>
      </c>
      <c r="H33" s="13"/>
      <c r="I33" s="13" t="s">
        <v>361</v>
      </c>
      <c r="J33" s="13" t="s">
        <v>362</v>
      </c>
      <c r="K33" s="13" t="s">
        <v>363</v>
      </c>
      <c r="L33" s="13" t="s">
        <v>364</v>
      </c>
      <c r="M33" s="13" t="s">
        <v>48</v>
      </c>
      <c r="N33" s="15" t="s">
        <v>34</v>
      </c>
      <c r="O33" s="15"/>
      <c r="P33" s="15"/>
      <c r="Q33" s="15"/>
      <c r="R33" s="15"/>
    </row>
    <row r="34" customFormat="false" ht="61.5" hidden="false" customHeight="true" outlineLevel="0" collapsed="false">
      <c r="A34" s="12" t="s">
        <v>365</v>
      </c>
      <c r="B34" s="13" t="s">
        <v>366</v>
      </c>
      <c r="C34" s="17" t="s">
        <v>39</v>
      </c>
      <c r="D34" s="13" t="s">
        <v>129</v>
      </c>
      <c r="E34" s="13" t="s">
        <v>111</v>
      </c>
      <c r="F34" s="13" t="s">
        <v>367</v>
      </c>
      <c r="G34" s="13" t="s">
        <v>368</v>
      </c>
      <c r="H34" s="13"/>
      <c r="I34" s="13" t="s">
        <v>369</v>
      </c>
      <c r="J34" s="13" t="s">
        <v>370</v>
      </c>
      <c r="K34" s="13" t="s">
        <v>371</v>
      </c>
      <c r="L34" s="13" t="s">
        <v>372</v>
      </c>
      <c r="M34" s="13" t="s">
        <v>48</v>
      </c>
      <c r="N34" s="15" t="s">
        <v>34</v>
      </c>
      <c r="O34" s="15"/>
      <c r="P34" s="15"/>
      <c r="Q34" s="15"/>
      <c r="R34" s="15"/>
    </row>
    <row r="35" customFormat="false" ht="61.5" hidden="false" customHeight="true" outlineLevel="0" collapsed="false">
      <c r="A35" s="12" t="s">
        <v>373</v>
      </c>
      <c r="B35" s="13" t="s">
        <v>374</v>
      </c>
      <c r="C35" s="17" t="s">
        <v>39</v>
      </c>
      <c r="D35" s="13" t="s">
        <v>301</v>
      </c>
      <c r="E35" s="13" t="s">
        <v>173</v>
      </c>
      <c r="F35" s="13" t="s">
        <v>375</v>
      </c>
      <c r="G35" s="13" t="s">
        <v>376</v>
      </c>
      <c r="H35" s="13"/>
      <c r="I35" s="13" t="s">
        <v>377</v>
      </c>
      <c r="J35" s="13" t="s">
        <v>378</v>
      </c>
      <c r="K35" s="13" t="s">
        <v>379</v>
      </c>
      <c r="L35" s="13" t="s">
        <v>380</v>
      </c>
      <c r="M35" s="13" t="s">
        <v>48</v>
      </c>
      <c r="N35" s="15" t="s">
        <v>34</v>
      </c>
      <c r="O35" s="15"/>
      <c r="P35" s="15"/>
      <c r="Q35" s="15"/>
      <c r="R35" s="15"/>
    </row>
    <row r="36" customFormat="false" ht="61.5" hidden="false" customHeight="true" outlineLevel="0" collapsed="false">
      <c r="A36" s="12" t="s">
        <v>381</v>
      </c>
      <c r="B36" s="13" t="s">
        <v>382</v>
      </c>
      <c r="C36" s="17" t="s">
        <v>39</v>
      </c>
      <c r="D36" s="13" t="s">
        <v>301</v>
      </c>
      <c r="E36" s="13" t="s">
        <v>111</v>
      </c>
      <c r="F36" s="13" t="s">
        <v>383</v>
      </c>
      <c r="G36" s="13" t="s">
        <v>384</v>
      </c>
      <c r="H36" s="13"/>
      <c r="I36" s="13" t="s">
        <v>385</v>
      </c>
      <c r="J36" s="13" t="s">
        <v>386</v>
      </c>
      <c r="K36" s="13" t="s">
        <v>387</v>
      </c>
      <c r="L36" s="13" t="s">
        <v>380</v>
      </c>
      <c r="M36" s="13" t="s">
        <v>48</v>
      </c>
      <c r="N36" s="15" t="s">
        <v>34</v>
      </c>
      <c r="O36" s="15"/>
      <c r="P36" s="15"/>
      <c r="Q36" s="15"/>
      <c r="R36" s="15"/>
    </row>
    <row r="37" customFormat="false" ht="61.5" hidden="false" customHeight="true" outlineLevel="0" collapsed="false">
      <c r="A37" s="12" t="s">
        <v>388</v>
      </c>
      <c r="B37" s="13" t="s">
        <v>389</v>
      </c>
      <c r="C37" s="17" t="s">
        <v>39</v>
      </c>
      <c r="D37" s="13" t="s">
        <v>301</v>
      </c>
      <c r="E37" s="13" t="s">
        <v>111</v>
      </c>
      <c r="F37" s="13" t="s">
        <v>390</v>
      </c>
      <c r="G37" s="13" t="s">
        <v>391</v>
      </c>
      <c r="H37" s="13"/>
      <c r="I37" s="13" t="s">
        <v>392</v>
      </c>
      <c r="J37" s="13" t="s">
        <v>393</v>
      </c>
      <c r="K37" s="13" t="s">
        <v>394</v>
      </c>
      <c r="L37" s="13" t="s">
        <v>395</v>
      </c>
      <c r="M37" s="13" t="s">
        <v>48</v>
      </c>
      <c r="N37" s="15" t="s">
        <v>34</v>
      </c>
      <c r="O37" s="15"/>
      <c r="P37" s="15"/>
      <c r="Q37" s="15"/>
      <c r="R37" s="15"/>
    </row>
    <row r="38" customFormat="false" ht="61.5" hidden="false" customHeight="true" outlineLevel="0" collapsed="false">
      <c r="A38" s="12" t="s">
        <v>396</v>
      </c>
      <c r="B38" s="13" t="s">
        <v>397</v>
      </c>
      <c r="C38" s="16" t="s">
        <v>41</v>
      </c>
      <c r="D38" s="13" t="s">
        <v>301</v>
      </c>
      <c r="E38" s="13" t="s">
        <v>140</v>
      </c>
      <c r="F38" s="13" t="s">
        <v>398</v>
      </c>
      <c r="G38" s="13" t="s">
        <v>399</v>
      </c>
      <c r="H38" s="13"/>
      <c r="I38" s="13" t="s">
        <v>400</v>
      </c>
      <c r="J38" s="13" t="s">
        <v>401</v>
      </c>
      <c r="K38" s="13" t="s">
        <v>402</v>
      </c>
      <c r="L38" s="13" t="s">
        <v>256</v>
      </c>
      <c r="M38" s="13" t="s">
        <v>48</v>
      </c>
      <c r="N38" s="15" t="s">
        <v>34</v>
      </c>
      <c r="O38" s="15"/>
      <c r="P38" s="15"/>
      <c r="Q38" s="15"/>
      <c r="R38" s="15"/>
    </row>
    <row r="39" customFormat="false" ht="61.5" hidden="false" customHeight="true" outlineLevel="0" collapsed="false">
      <c r="A39" s="12" t="s">
        <v>403</v>
      </c>
      <c r="B39" s="13" t="s">
        <v>404</v>
      </c>
      <c r="C39" s="16" t="s">
        <v>41</v>
      </c>
      <c r="D39" s="13" t="s">
        <v>343</v>
      </c>
      <c r="E39" s="13" t="s">
        <v>111</v>
      </c>
      <c r="F39" s="13" t="s">
        <v>405</v>
      </c>
      <c r="G39" s="13" t="s">
        <v>406</v>
      </c>
      <c r="H39" s="13"/>
      <c r="I39" s="13" t="s">
        <v>407</v>
      </c>
      <c r="J39" s="13" t="s">
        <v>408</v>
      </c>
      <c r="K39" s="13" t="s">
        <v>409</v>
      </c>
      <c r="L39" s="13" t="s">
        <v>410</v>
      </c>
      <c r="M39" s="13" t="s">
        <v>48</v>
      </c>
      <c r="N39" s="15" t="s">
        <v>34</v>
      </c>
      <c r="O39" s="15"/>
      <c r="P39" s="15"/>
      <c r="Q39" s="15"/>
      <c r="R39" s="15"/>
    </row>
    <row r="40" customFormat="false" ht="61.5" hidden="false" customHeight="true" outlineLevel="0" collapsed="false">
      <c r="A40" s="12" t="s">
        <v>411</v>
      </c>
      <c r="B40" s="13" t="s">
        <v>412</v>
      </c>
      <c r="C40" s="19" t="s">
        <v>43</v>
      </c>
      <c r="D40" s="13" t="s">
        <v>210</v>
      </c>
      <c r="E40" s="13" t="s">
        <v>140</v>
      </c>
      <c r="F40" s="13" t="s">
        <v>413</v>
      </c>
      <c r="G40" s="13" t="s">
        <v>414</v>
      </c>
      <c r="H40" s="13" t="s">
        <v>415</v>
      </c>
      <c r="I40" s="13" t="s">
        <v>416</v>
      </c>
      <c r="J40" s="13" t="s">
        <v>417</v>
      </c>
      <c r="K40" s="13" t="s">
        <v>418</v>
      </c>
      <c r="L40" s="13" t="s">
        <v>316</v>
      </c>
      <c r="M40" s="13" t="s">
        <v>48</v>
      </c>
      <c r="N40" s="15" t="s">
        <v>34</v>
      </c>
      <c r="O40" s="15"/>
      <c r="P40" s="15"/>
      <c r="Q40" s="15"/>
      <c r="R40" s="15"/>
    </row>
    <row r="41" customFormat="false" ht="61.5" hidden="false" customHeight="true" outlineLevel="0" collapsed="false">
      <c r="A41" s="12" t="s">
        <v>419</v>
      </c>
      <c r="B41" s="13" t="s">
        <v>420</v>
      </c>
      <c r="C41" s="19" t="s">
        <v>43</v>
      </c>
      <c r="D41" s="13" t="s">
        <v>192</v>
      </c>
      <c r="E41" s="13" t="s">
        <v>140</v>
      </c>
      <c r="F41" s="13" t="s">
        <v>421</v>
      </c>
      <c r="G41" s="13" t="s">
        <v>422</v>
      </c>
      <c r="H41" s="13"/>
      <c r="I41" s="13" t="s">
        <v>423</v>
      </c>
      <c r="J41" s="13" t="s">
        <v>424</v>
      </c>
      <c r="K41" s="13" t="s">
        <v>425</v>
      </c>
      <c r="L41" s="13" t="s">
        <v>316</v>
      </c>
      <c r="M41" s="13" t="s">
        <v>48</v>
      </c>
      <c r="N41" s="15" t="s">
        <v>34</v>
      </c>
      <c r="O41" s="15"/>
      <c r="P41" s="15"/>
      <c r="Q41" s="15"/>
      <c r="R41" s="15"/>
    </row>
    <row r="42" customFormat="false" ht="61.5" hidden="false" customHeight="true" outlineLevel="0" collapsed="false">
      <c r="A42" s="12" t="s">
        <v>426</v>
      </c>
      <c r="B42" s="13" t="s">
        <v>427</v>
      </c>
      <c r="C42" s="18" t="s">
        <v>45</v>
      </c>
      <c r="D42" s="13" t="s">
        <v>428</v>
      </c>
      <c r="E42" s="13" t="s">
        <v>140</v>
      </c>
      <c r="F42" s="13" t="s">
        <v>429</v>
      </c>
      <c r="G42" s="13" t="s">
        <v>430</v>
      </c>
      <c r="H42" s="13" t="s">
        <v>431</v>
      </c>
      <c r="I42" s="13" t="s">
        <v>432</v>
      </c>
      <c r="J42" s="13" t="s">
        <v>433</v>
      </c>
      <c r="K42" s="13" t="s">
        <v>434</v>
      </c>
      <c r="L42" s="13" t="s">
        <v>280</v>
      </c>
      <c r="M42" s="13" t="s">
        <v>48</v>
      </c>
      <c r="N42" s="15" t="s">
        <v>34</v>
      </c>
      <c r="O42" s="15"/>
      <c r="P42" s="15"/>
      <c r="Q42" s="15"/>
      <c r="R42" s="15"/>
    </row>
    <row r="43" customFormat="false" ht="61.5" hidden="false" customHeight="true" outlineLevel="0" collapsed="false">
      <c r="A43" s="12" t="s">
        <v>435</v>
      </c>
      <c r="B43" s="13" t="s">
        <v>436</v>
      </c>
      <c r="C43" s="16" t="s">
        <v>41</v>
      </c>
      <c r="D43" s="13" t="s">
        <v>428</v>
      </c>
      <c r="E43" s="13" t="s">
        <v>140</v>
      </c>
      <c r="F43" s="13" t="s">
        <v>437</v>
      </c>
      <c r="G43" s="13" t="s">
        <v>438</v>
      </c>
      <c r="H43" s="13"/>
      <c r="I43" s="13" t="s">
        <v>439</v>
      </c>
      <c r="J43" s="13" t="s">
        <v>440</v>
      </c>
      <c r="K43" s="13" t="s">
        <v>441</v>
      </c>
      <c r="L43" s="13" t="s">
        <v>280</v>
      </c>
      <c r="M43" s="13" t="s">
        <v>48</v>
      </c>
      <c r="N43" s="15" t="s">
        <v>34</v>
      </c>
      <c r="O43" s="15"/>
      <c r="P43" s="15"/>
      <c r="Q43" s="15"/>
      <c r="R43" s="15"/>
    </row>
    <row r="44" customFormat="false" ht="61.5" hidden="false" customHeight="true" outlineLevel="0" collapsed="false">
      <c r="A44" s="12" t="s">
        <v>442</v>
      </c>
      <c r="B44" s="13" t="s">
        <v>443</v>
      </c>
      <c r="C44" s="19" t="s">
        <v>43</v>
      </c>
      <c r="D44" s="13" t="s">
        <v>192</v>
      </c>
      <c r="E44" s="13" t="s">
        <v>140</v>
      </c>
      <c r="F44" s="13" t="s">
        <v>444</v>
      </c>
      <c r="G44" s="13" t="s">
        <v>445</v>
      </c>
      <c r="H44" s="13"/>
      <c r="I44" s="13" t="s">
        <v>446</v>
      </c>
      <c r="J44" s="13" t="s">
        <v>447</v>
      </c>
      <c r="K44" s="13" t="s">
        <v>448</v>
      </c>
      <c r="L44" s="13" t="s">
        <v>280</v>
      </c>
      <c r="M44" s="13" t="s">
        <v>48</v>
      </c>
      <c r="N44" s="15" t="s">
        <v>34</v>
      </c>
      <c r="O44" s="15"/>
      <c r="P44" s="15"/>
      <c r="Q44" s="15"/>
      <c r="R44" s="15"/>
    </row>
    <row r="45" customFormat="false" ht="61.5" hidden="false" customHeight="true" outlineLevel="0" collapsed="false">
      <c r="A45" s="12" t="s">
        <v>449</v>
      </c>
      <c r="B45" s="13" t="s">
        <v>450</v>
      </c>
      <c r="C45" s="17" t="s">
        <v>39</v>
      </c>
      <c r="D45" s="13" t="s">
        <v>192</v>
      </c>
      <c r="E45" s="13" t="s">
        <v>173</v>
      </c>
      <c r="F45" s="13" t="s">
        <v>451</v>
      </c>
      <c r="G45" s="13" t="s">
        <v>452</v>
      </c>
      <c r="H45" s="13" t="s">
        <v>453</v>
      </c>
      <c r="I45" s="13" t="s">
        <v>454</v>
      </c>
      <c r="J45" s="13" t="s">
        <v>455</v>
      </c>
      <c r="K45" s="13" t="s">
        <v>456</v>
      </c>
      <c r="L45" s="13" t="s">
        <v>179</v>
      </c>
      <c r="M45" s="13" t="s">
        <v>48</v>
      </c>
      <c r="N45" s="15" t="s">
        <v>34</v>
      </c>
      <c r="O45" s="15"/>
      <c r="P45" s="15"/>
      <c r="Q45" s="15"/>
      <c r="R45" s="15"/>
    </row>
    <row r="46" customFormat="false" ht="61.5" hidden="false" customHeight="true" outlineLevel="0" collapsed="false">
      <c r="A46" s="12" t="s">
        <v>457</v>
      </c>
      <c r="B46" s="13" t="s">
        <v>458</v>
      </c>
      <c r="C46" s="16" t="s">
        <v>41</v>
      </c>
      <c r="D46" s="13" t="s">
        <v>192</v>
      </c>
      <c r="E46" s="13" t="s">
        <v>173</v>
      </c>
      <c r="F46" s="13" t="s">
        <v>459</v>
      </c>
      <c r="G46" s="13" t="s">
        <v>460</v>
      </c>
      <c r="H46" s="13"/>
      <c r="I46" s="13" t="s">
        <v>461</v>
      </c>
      <c r="J46" s="13" t="s">
        <v>462</v>
      </c>
      <c r="K46" s="13" t="s">
        <v>463</v>
      </c>
      <c r="L46" s="13" t="s">
        <v>179</v>
      </c>
      <c r="M46" s="13" t="s">
        <v>48</v>
      </c>
      <c r="N46" s="15" t="s">
        <v>34</v>
      </c>
      <c r="O46" s="15"/>
      <c r="P46" s="15"/>
      <c r="Q46" s="15"/>
      <c r="R46" s="15"/>
    </row>
    <row r="47" customFormat="false" ht="61.5" hidden="false" customHeight="true" outlineLevel="0" collapsed="false">
      <c r="A47" s="12" t="s">
        <v>465</v>
      </c>
      <c r="B47" s="13" t="s">
        <v>466</v>
      </c>
      <c r="C47" s="17" t="s">
        <v>39</v>
      </c>
      <c r="D47" s="13" t="s">
        <v>343</v>
      </c>
      <c r="E47" s="13" t="s">
        <v>111</v>
      </c>
      <c r="F47" s="13" t="s">
        <v>467</v>
      </c>
      <c r="G47" s="13" t="s">
        <v>468</v>
      </c>
      <c r="H47" s="13"/>
      <c r="I47" s="13" t="s">
        <v>469</v>
      </c>
      <c r="J47" s="13" t="s">
        <v>470</v>
      </c>
      <c r="K47" s="13" t="s">
        <v>471</v>
      </c>
      <c r="L47" s="13" t="s">
        <v>472</v>
      </c>
      <c r="M47" s="13" t="s">
        <v>48</v>
      </c>
      <c r="N47" s="15" t="s">
        <v>34</v>
      </c>
      <c r="O47" s="15"/>
      <c r="P47" s="15"/>
      <c r="Q47" s="15"/>
      <c r="R47" s="15"/>
    </row>
    <row r="48" customFormat="false" ht="61.5" hidden="false" customHeight="true" outlineLevel="0" collapsed="false">
      <c r="A48" s="12" t="s">
        <v>473</v>
      </c>
      <c r="B48" s="13" t="s">
        <v>474</v>
      </c>
      <c r="C48" s="17" t="s">
        <v>39</v>
      </c>
      <c r="D48" s="13" t="s">
        <v>343</v>
      </c>
      <c r="E48" s="13" t="s">
        <v>111</v>
      </c>
      <c r="F48" s="13" t="s">
        <v>475</v>
      </c>
      <c r="G48" s="13" t="s">
        <v>476</v>
      </c>
      <c r="H48" s="13"/>
      <c r="I48" s="13" t="s">
        <v>477</v>
      </c>
      <c r="J48" s="13" t="s">
        <v>478</v>
      </c>
      <c r="K48" s="13" t="s">
        <v>479</v>
      </c>
      <c r="L48" s="13" t="s">
        <v>480</v>
      </c>
      <c r="M48" s="13" t="s">
        <v>48</v>
      </c>
      <c r="N48" s="15" t="s">
        <v>34</v>
      </c>
      <c r="O48" s="15"/>
      <c r="P48" s="15"/>
      <c r="Q48" s="15"/>
      <c r="R48" s="15"/>
    </row>
    <row r="49" customFormat="false" ht="61.5" hidden="false" customHeight="true" outlineLevel="0" collapsed="false">
      <c r="A49" s="12" t="s">
        <v>481</v>
      </c>
      <c r="B49" s="13" t="s">
        <v>482</v>
      </c>
      <c r="C49" s="16" t="s">
        <v>41</v>
      </c>
      <c r="D49" s="13" t="s">
        <v>343</v>
      </c>
      <c r="E49" s="13" t="s">
        <v>111</v>
      </c>
      <c r="F49" s="13" t="s">
        <v>483</v>
      </c>
      <c r="G49" s="13" t="s">
        <v>484</v>
      </c>
      <c r="H49" s="13"/>
      <c r="I49" s="13" t="s">
        <v>485</v>
      </c>
      <c r="J49" s="13" t="s">
        <v>486</v>
      </c>
      <c r="K49" s="13" t="s">
        <v>487</v>
      </c>
      <c r="L49" s="13" t="s">
        <v>297</v>
      </c>
      <c r="M49" s="13" t="s">
        <v>48</v>
      </c>
      <c r="N49" s="15" t="s">
        <v>34</v>
      </c>
      <c r="O49" s="15"/>
      <c r="P49" s="15"/>
      <c r="Q49" s="15"/>
      <c r="R49" s="15"/>
    </row>
    <row r="50" customFormat="false" ht="61.5" hidden="false" customHeight="true" outlineLevel="0" collapsed="false">
      <c r="A50" s="12" t="s">
        <v>488</v>
      </c>
      <c r="B50" s="13" t="s">
        <v>489</v>
      </c>
      <c r="C50" s="16" t="s">
        <v>41</v>
      </c>
      <c r="D50" s="13" t="s">
        <v>343</v>
      </c>
      <c r="E50" s="13" t="s">
        <v>140</v>
      </c>
      <c r="F50" s="13" t="s">
        <v>490</v>
      </c>
      <c r="G50" s="13" t="s">
        <v>491</v>
      </c>
      <c r="H50" s="13"/>
      <c r="I50" s="13" t="s">
        <v>492</v>
      </c>
      <c r="J50" s="13" t="s">
        <v>493</v>
      </c>
      <c r="K50" s="13" t="s">
        <v>494</v>
      </c>
      <c r="L50" s="13" t="s">
        <v>480</v>
      </c>
      <c r="M50" s="13" t="s">
        <v>48</v>
      </c>
      <c r="N50" s="15" t="s">
        <v>34</v>
      </c>
      <c r="O50" s="15"/>
      <c r="P50" s="15"/>
      <c r="Q50" s="15"/>
      <c r="R50" s="15"/>
    </row>
    <row r="51" customFormat="false" ht="61.5" hidden="false" customHeight="true" outlineLevel="0" collapsed="false">
      <c r="A51" s="12" t="s">
        <v>495</v>
      </c>
      <c r="B51" s="13" t="s">
        <v>496</v>
      </c>
      <c r="C51" s="17" t="s">
        <v>39</v>
      </c>
      <c r="D51" s="13" t="s">
        <v>343</v>
      </c>
      <c r="E51" s="13" t="s">
        <v>111</v>
      </c>
      <c r="F51" s="13" t="s">
        <v>497</v>
      </c>
      <c r="G51" s="13" t="s">
        <v>498</v>
      </c>
      <c r="H51" s="13"/>
      <c r="I51" s="13" t="s">
        <v>499</v>
      </c>
      <c r="J51" s="13" t="s">
        <v>500</v>
      </c>
      <c r="K51" s="13" t="s">
        <v>501</v>
      </c>
      <c r="L51" s="13" t="s">
        <v>480</v>
      </c>
      <c r="M51" s="13" t="s">
        <v>48</v>
      </c>
      <c r="N51" s="15" t="s">
        <v>34</v>
      </c>
      <c r="O51" s="15"/>
      <c r="P51" s="15"/>
      <c r="Q51" s="15"/>
      <c r="R51" s="15"/>
    </row>
    <row r="52" customFormat="false" ht="61.5" hidden="false" customHeight="true" outlineLevel="0" collapsed="false">
      <c r="A52" s="12" t="s">
        <v>502</v>
      </c>
      <c r="B52" s="13" t="s">
        <v>503</v>
      </c>
      <c r="C52" s="16" t="s">
        <v>41</v>
      </c>
      <c r="D52" s="13" t="s">
        <v>301</v>
      </c>
      <c r="E52" s="13" t="s">
        <v>111</v>
      </c>
      <c r="F52" s="13" t="s">
        <v>504</v>
      </c>
      <c r="G52" s="13" t="s">
        <v>505</v>
      </c>
      <c r="H52" s="13"/>
      <c r="I52" s="13" t="s">
        <v>506</v>
      </c>
      <c r="J52" s="13" t="s">
        <v>507</v>
      </c>
      <c r="K52" s="13" t="s">
        <v>508</v>
      </c>
      <c r="L52" s="13" t="s">
        <v>380</v>
      </c>
      <c r="M52" s="13" t="s">
        <v>48</v>
      </c>
      <c r="N52" s="15" t="s">
        <v>34</v>
      </c>
      <c r="O52" s="15"/>
      <c r="P52" s="15"/>
      <c r="Q52" s="15"/>
      <c r="R52" s="15"/>
    </row>
    <row r="53" customFormat="false" ht="61.5" hidden="false" customHeight="true" outlineLevel="0" collapsed="false">
      <c r="A53" s="12" t="s">
        <v>509</v>
      </c>
      <c r="B53" s="13" t="s">
        <v>510</v>
      </c>
      <c r="C53" s="19" t="s">
        <v>43</v>
      </c>
      <c r="D53" s="13" t="s">
        <v>511</v>
      </c>
      <c r="E53" s="13" t="s">
        <v>111</v>
      </c>
      <c r="F53" s="13" t="s">
        <v>512</v>
      </c>
      <c r="G53" s="13" t="s">
        <v>513</v>
      </c>
      <c r="H53" s="13"/>
      <c r="I53" s="13" t="s">
        <v>514</v>
      </c>
      <c r="J53" s="13" t="s">
        <v>515</v>
      </c>
      <c r="K53" s="13" t="s">
        <v>516</v>
      </c>
      <c r="L53" s="13" t="s">
        <v>480</v>
      </c>
      <c r="M53" s="13" t="s">
        <v>48</v>
      </c>
      <c r="N53" s="15" t="s">
        <v>34</v>
      </c>
      <c r="O53" s="15"/>
      <c r="P53" s="15"/>
      <c r="Q53" s="15"/>
      <c r="R53" s="15"/>
    </row>
    <row r="54" customFormat="false" ht="61.5" hidden="false" customHeight="true" outlineLevel="0" collapsed="false">
      <c r="A54" s="12" t="s">
        <v>517</v>
      </c>
      <c r="B54" s="13" t="s">
        <v>518</v>
      </c>
      <c r="C54" s="16" t="s">
        <v>41</v>
      </c>
      <c r="D54" s="13" t="s">
        <v>343</v>
      </c>
      <c r="E54" s="13" t="s">
        <v>111</v>
      </c>
      <c r="F54" s="13" t="s">
        <v>519</v>
      </c>
      <c r="G54" s="13" t="s">
        <v>520</v>
      </c>
      <c r="H54" s="13"/>
      <c r="I54" s="13" t="s">
        <v>521</v>
      </c>
      <c r="J54" s="13" t="s">
        <v>522</v>
      </c>
      <c r="K54" s="13" t="s">
        <v>523</v>
      </c>
      <c r="L54" s="13" t="s">
        <v>524</v>
      </c>
      <c r="M54" s="13" t="s">
        <v>48</v>
      </c>
      <c r="N54" s="15" t="s">
        <v>34</v>
      </c>
      <c r="O54" s="15"/>
      <c r="P54" s="15"/>
      <c r="Q54" s="15"/>
      <c r="R54" s="15"/>
    </row>
    <row r="55" customFormat="false" ht="61.5" hidden="false" customHeight="true" outlineLevel="0" collapsed="false">
      <c r="A55" s="12" t="s">
        <v>525</v>
      </c>
      <c r="B55" s="13" t="s">
        <v>526</v>
      </c>
      <c r="C55" s="16" t="s">
        <v>41</v>
      </c>
      <c r="D55" s="13" t="s">
        <v>192</v>
      </c>
      <c r="E55" s="13" t="s">
        <v>140</v>
      </c>
      <c r="F55" s="13" t="s">
        <v>527</v>
      </c>
      <c r="G55" s="13" t="s">
        <v>528</v>
      </c>
      <c r="H55" s="13"/>
      <c r="I55" s="13" t="s">
        <v>529</v>
      </c>
      <c r="J55" s="13" t="s">
        <v>530</v>
      </c>
      <c r="K55" s="13" t="s">
        <v>531</v>
      </c>
      <c r="L55" s="13" t="s">
        <v>532</v>
      </c>
      <c r="M55" s="13" t="s">
        <v>48</v>
      </c>
      <c r="N55" s="15" t="s">
        <v>34</v>
      </c>
      <c r="O55" s="15"/>
      <c r="P55" s="15"/>
      <c r="Q55" s="15"/>
      <c r="R55" s="15"/>
    </row>
    <row r="56" customFormat="false" ht="61.5" hidden="false" customHeight="true" outlineLevel="0" collapsed="false">
      <c r="A56" s="12" t="s">
        <v>533</v>
      </c>
      <c r="B56" s="13" t="s">
        <v>534</v>
      </c>
      <c r="C56" s="19" t="s">
        <v>43</v>
      </c>
      <c r="D56" s="13" t="s">
        <v>192</v>
      </c>
      <c r="E56" s="13" t="s">
        <v>140</v>
      </c>
      <c r="F56" s="13" t="s">
        <v>535</v>
      </c>
      <c r="G56" s="13" t="s">
        <v>536</v>
      </c>
      <c r="H56" s="13"/>
      <c r="I56" s="13" t="s">
        <v>537</v>
      </c>
      <c r="J56" s="13" t="s">
        <v>538</v>
      </c>
      <c r="K56" s="13" t="s">
        <v>539</v>
      </c>
      <c r="L56" s="13" t="s">
        <v>256</v>
      </c>
      <c r="M56" s="13" t="s">
        <v>48</v>
      </c>
      <c r="N56" s="15" t="s">
        <v>34</v>
      </c>
      <c r="O56" s="15"/>
      <c r="P56" s="15"/>
      <c r="Q56" s="15"/>
      <c r="R56" s="15"/>
    </row>
    <row r="57" customFormat="false" ht="61.5" hidden="false" customHeight="true" outlineLevel="0" collapsed="false">
      <c r="A57" s="12" t="s">
        <v>618</v>
      </c>
      <c r="B57" s="13" t="s">
        <v>619</v>
      </c>
      <c r="C57" s="17" t="s">
        <v>39</v>
      </c>
      <c r="D57" s="13" t="s">
        <v>343</v>
      </c>
      <c r="E57" s="13" t="s">
        <v>111</v>
      </c>
      <c r="F57" s="13" t="s">
        <v>620</v>
      </c>
      <c r="G57" s="13" t="s">
        <v>621</v>
      </c>
      <c r="H57" s="13"/>
      <c r="I57" s="13" t="s">
        <v>622</v>
      </c>
      <c r="J57" s="13" t="s">
        <v>623</v>
      </c>
      <c r="K57" s="13" t="s">
        <v>624</v>
      </c>
      <c r="L57" s="13" t="s">
        <v>625</v>
      </c>
      <c r="M57" s="13" t="s">
        <v>48</v>
      </c>
      <c r="N57" s="15" t="s">
        <v>34</v>
      </c>
      <c r="O57" s="15"/>
      <c r="P57" s="15"/>
      <c r="Q57" s="15"/>
      <c r="R57" s="15"/>
    </row>
    <row r="58" customFormat="false" ht="61.5" hidden="false" customHeight="true" outlineLevel="0" collapsed="false">
      <c r="A58" s="12" t="s">
        <v>626</v>
      </c>
      <c r="B58" s="13" t="s">
        <v>627</v>
      </c>
      <c r="C58" s="16" t="s">
        <v>41</v>
      </c>
      <c r="D58" s="13" t="s">
        <v>343</v>
      </c>
      <c r="E58" s="13" t="s">
        <v>111</v>
      </c>
      <c r="F58" s="13" t="s">
        <v>628</v>
      </c>
      <c r="G58" s="13" t="s">
        <v>629</v>
      </c>
      <c r="H58" s="13"/>
      <c r="I58" s="13" t="s">
        <v>630</v>
      </c>
      <c r="J58" s="13" t="s">
        <v>631</v>
      </c>
      <c r="K58" s="13" t="s">
        <v>632</v>
      </c>
      <c r="L58" s="13" t="s">
        <v>380</v>
      </c>
      <c r="M58" s="13" t="s">
        <v>48</v>
      </c>
      <c r="N58" s="15" t="s">
        <v>34</v>
      </c>
      <c r="O58" s="15"/>
      <c r="P58" s="15"/>
      <c r="Q58" s="15"/>
      <c r="R58" s="15"/>
    </row>
    <row r="59" customFormat="false" ht="61.5" hidden="false" customHeight="true" outlineLevel="0" collapsed="false">
      <c r="A59" s="12" t="s">
        <v>633</v>
      </c>
      <c r="B59" s="13" t="s">
        <v>634</v>
      </c>
      <c r="C59" s="16" t="s">
        <v>41</v>
      </c>
      <c r="D59" s="13" t="s">
        <v>343</v>
      </c>
      <c r="E59" s="13" t="s">
        <v>140</v>
      </c>
      <c r="F59" s="13" t="s">
        <v>635</v>
      </c>
      <c r="G59" s="13" t="s">
        <v>636</v>
      </c>
      <c r="H59" s="13"/>
      <c r="I59" s="13" t="s">
        <v>637</v>
      </c>
      <c r="J59" s="13" t="s">
        <v>638</v>
      </c>
      <c r="K59" s="13" t="s">
        <v>639</v>
      </c>
      <c r="L59" s="13" t="s">
        <v>380</v>
      </c>
      <c r="M59" s="13" t="s">
        <v>48</v>
      </c>
      <c r="N59" s="15" t="s">
        <v>34</v>
      </c>
      <c r="O59" s="15"/>
      <c r="P59" s="15"/>
      <c r="Q59" s="15"/>
      <c r="R59" s="15"/>
    </row>
    <row r="60" customFormat="false" ht="61.5" hidden="false" customHeight="true" outlineLevel="0" collapsed="false">
      <c r="A60" s="12" t="s">
        <v>640</v>
      </c>
      <c r="B60" s="13" t="s">
        <v>641</v>
      </c>
      <c r="C60" s="16" t="s">
        <v>41</v>
      </c>
      <c r="D60" s="13" t="s">
        <v>343</v>
      </c>
      <c r="E60" s="13" t="s">
        <v>111</v>
      </c>
      <c r="F60" s="13" t="s">
        <v>642</v>
      </c>
      <c r="G60" s="13" t="s">
        <v>643</v>
      </c>
      <c r="H60" s="13"/>
      <c r="I60" s="13" t="s">
        <v>644</v>
      </c>
      <c r="J60" s="13" t="s">
        <v>645</v>
      </c>
      <c r="K60" s="13" t="s">
        <v>646</v>
      </c>
      <c r="L60" s="13" t="s">
        <v>380</v>
      </c>
      <c r="M60" s="13" t="s">
        <v>48</v>
      </c>
      <c r="N60" s="15" t="s">
        <v>34</v>
      </c>
      <c r="O60" s="15"/>
      <c r="P60" s="15"/>
      <c r="Q60" s="15"/>
      <c r="R60" s="15"/>
    </row>
    <row r="61" customFormat="false" ht="61.5" hidden="false" customHeight="true" outlineLevel="0" collapsed="false">
      <c r="A61" s="12" t="s">
        <v>647</v>
      </c>
      <c r="B61" s="13" t="s">
        <v>648</v>
      </c>
      <c r="C61" s="17" t="s">
        <v>39</v>
      </c>
      <c r="D61" s="13" t="s">
        <v>343</v>
      </c>
      <c r="E61" s="13" t="s">
        <v>111</v>
      </c>
      <c r="F61" s="13" t="s">
        <v>649</v>
      </c>
      <c r="G61" s="13" t="s">
        <v>650</v>
      </c>
      <c r="H61" s="13"/>
      <c r="I61" s="13" t="s">
        <v>651</v>
      </c>
      <c r="J61" s="13" t="s">
        <v>652</v>
      </c>
      <c r="K61" s="13" t="s">
        <v>653</v>
      </c>
      <c r="L61" s="13" t="s">
        <v>380</v>
      </c>
      <c r="M61" s="13" t="s">
        <v>48</v>
      </c>
      <c r="N61" s="15" t="s">
        <v>34</v>
      </c>
      <c r="O61" s="15"/>
      <c r="P61" s="15"/>
      <c r="Q61" s="15"/>
      <c r="R61" s="15"/>
    </row>
    <row r="62" customFormat="false" ht="61.5" hidden="false" customHeight="true" outlineLevel="0" collapsed="false">
      <c r="A62" s="12" t="s">
        <v>654</v>
      </c>
      <c r="B62" s="13" t="s">
        <v>655</v>
      </c>
      <c r="C62" s="17" t="s">
        <v>39</v>
      </c>
      <c r="D62" s="13" t="s">
        <v>511</v>
      </c>
      <c r="E62" s="13" t="s">
        <v>111</v>
      </c>
      <c r="F62" s="13" t="s">
        <v>656</v>
      </c>
      <c r="G62" s="13" t="s">
        <v>657</v>
      </c>
      <c r="H62" s="13"/>
      <c r="I62" s="13" t="s">
        <v>658</v>
      </c>
      <c r="J62" s="13" t="s">
        <v>659</v>
      </c>
      <c r="K62" s="13" t="s">
        <v>660</v>
      </c>
      <c r="L62" s="13" t="s">
        <v>472</v>
      </c>
      <c r="M62" s="13" t="s">
        <v>48</v>
      </c>
      <c r="N62" s="15" t="s">
        <v>34</v>
      </c>
      <c r="O62" s="15"/>
      <c r="P62" s="15"/>
      <c r="Q62" s="15"/>
      <c r="R62" s="15"/>
    </row>
    <row r="63" customFormat="false" ht="61.5" hidden="false" customHeight="true" outlineLevel="0" collapsed="false">
      <c r="A63" s="12" t="s">
        <v>661</v>
      </c>
      <c r="B63" s="13" t="s">
        <v>662</v>
      </c>
      <c r="C63" s="16" t="s">
        <v>41</v>
      </c>
      <c r="D63" s="13" t="s">
        <v>343</v>
      </c>
      <c r="E63" s="13" t="s">
        <v>111</v>
      </c>
      <c r="F63" s="13" t="s">
        <v>663</v>
      </c>
      <c r="G63" s="13" t="s">
        <v>664</v>
      </c>
      <c r="H63" s="13"/>
      <c r="I63" s="13" t="s">
        <v>665</v>
      </c>
      <c r="J63" s="13" t="s">
        <v>666</v>
      </c>
      <c r="K63" s="13" t="s">
        <v>667</v>
      </c>
      <c r="L63" s="13" t="s">
        <v>480</v>
      </c>
      <c r="M63" s="13" t="s">
        <v>48</v>
      </c>
      <c r="N63" s="15" t="s">
        <v>34</v>
      </c>
      <c r="O63" s="15"/>
      <c r="P63" s="15"/>
      <c r="Q63" s="15"/>
      <c r="R63" s="15"/>
    </row>
    <row r="64" customFormat="false" ht="61.5" hidden="false" customHeight="true" outlineLevel="0" collapsed="false">
      <c r="A64" s="12" t="s">
        <v>668</v>
      </c>
      <c r="B64" s="13" t="s">
        <v>669</v>
      </c>
      <c r="C64" s="19" t="s">
        <v>43</v>
      </c>
      <c r="D64" s="13" t="s">
        <v>343</v>
      </c>
      <c r="E64" s="13" t="s">
        <v>140</v>
      </c>
      <c r="F64" s="13" t="s">
        <v>670</v>
      </c>
      <c r="G64" s="13" t="s">
        <v>671</v>
      </c>
      <c r="H64" s="13"/>
      <c r="I64" s="13" t="s">
        <v>672</v>
      </c>
      <c r="J64" s="13" t="s">
        <v>673</v>
      </c>
      <c r="K64" s="13" t="s">
        <v>674</v>
      </c>
      <c r="L64" s="13" t="s">
        <v>480</v>
      </c>
      <c r="M64" s="13" t="s">
        <v>48</v>
      </c>
      <c r="N64" s="15" t="s">
        <v>34</v>
      </c>
      <c r="O64" s="15"/>
      <c r="P64" s="15"/>
      <c r="Q64" s="15"/>
      <c r="R64" s="15"/>
    </row>
    <row r="65" customFormat="false" ht="61.5" hidden="false" customHeight="true" outlineLevel="0" collapsed="false">
      <c r="A65" s="12" t="s">
        <v>675</v>
      </c>
      <c r="B65" s="13" t="s">
        <v>676</v>
      </c>
      <c r="C65" s="16" t="s">
        <v>41</v>
      </c>
      <c r="D65" s="13" t="s">
        <v>283</v>
      </c>
      <c r="E65" s="13" t="s">
        <v>140</v>
      </c>
      <c r="F65" s="13" t="s">
        <v>677</v>
      </c>
      <c r="G65" s="13" t="s">
        <v>678</v>
      </c>
      <c r="H65" s="13" t="s">
        <v>553</v>
      </c>
      <c r="I65" s="13" t="s">
        <v>679</v>
      </c>
      <c r="J65" s="13" t="s">
        <v>680</v>
      </c>
      <c r="K65" s="13" t="s">
        <v>681</v>
      </c>
      <c r="L65" s="13" t="s">
        <v>557</v>
      </c>
      <c r="M65" s="13" t="s">
        <v>48</v>
      </c>
      <c r="N65" s="15" t="s">
        <v>34</v>
      </c>
      <c r="O65" s="15"/>
      <c r="P65" s="15"/>
      <c r="Q65" s="15"/>
      <c r="R65" s="15"/>
    </row>
    <row r="66" customFormat="false" ht="61.5" hidden="false" customHeight="true" outlineLevel="0" collapsed="false">
      <c r="A66" s="12" t="s">
        <v>682</v>
      </c>
      <c r="B66" s="13" t="s">
        <v>683</v>
      </c>
      <c r="C66" s="19" t="s">
        <v>43</v>
      </c>
      <c r="D66" s="13" t="s">
        <v>283</v>
      </c>
      <c r="E66" s="13" t="s">
        <v>140</v>
      </c>
      <c r="F66" s="13" t="s">
        <v>684</v>
      </c>
      <c r="G66" s="13" t="s">
        <v>685</v>
      </c>
      <c r="H66" s="13"/>
      <c r="I66" s="13" t="s">
        <v>686</v>
      </c>
      <c r="J66" s="13" t="s">
        <v>687</v>
      </c>
      <c r="K66" s="13" t="s">
        <v>688</v>
      </c>
      <c r="L66" s="13" t="s">
        <v>256</v>
      </c>
      <c r="M66" s="13" t="s">
        <v>48</v>
      </c>
      <c r="N66" s="15" t="s">
        <v>34</v>
      </c>
      <c r="O66" s="15"/>
      <c r="P66" s="15"/>
      <c r="Q66" s="15"/>
      <c r="R66" s="15"/>
    </row>
    <row r="67" customFormat="false" ht="61.5" hidden="false" customHeight="true" outlineLevel="0" collapsed="false">
      <c r="A67" s="12" t="s">
        <v>689</v>
      </c>
      <c r="B67" s="13" t="s">
        <v>690</v>
      </c>
      <c r="C67" s="18" t="s">
        <v>45</v>
      </c>
      <c r="D67" s="13" t="s">
        <v>335</v>
      </c>
      <c r="E67" s="13" t="s">
        <v>140</v>
      </c>
      <c r="F67" s="13" t="s">
        <v>691</v>
      </c>
      <c r="G67" s="13" t="s">
        <v>692</v>
      </c>
      <c r="H67" s="13"/>
      <c r="I67" s="13" t="s">
        <v>693</v>
      </c>
      <c r="J67" s="13" t="s">
        <v>694</v>
      </c>
      <c r="K67" s="13" t="s">
        <v>695</v>
      </c>
      <c r="L67" s="13" t="s">
        <v>256</v>
      </c>
      <c r="M67" s="13" t="s">
        <v>48</v>
      </c>
      <c r="N67" s="15" t="s">
        <v>34</v>
      </c>
      <c r="O67" s="15"/>
      <c r="P67" s="15"/>
      <c r="Q67" s="15"/>
      <c r="R67" s="15"/>
    </row>
    <row r="68" customFormat="false" ht="61.5" hidden="false" customHeight="true" outlineLevel="0" collapsed="false">
      <c r="A68" s="12" t="s">
        <v>696</v>
      </c>
      <c r="B68" s="13" t="s">
        <v>697</v>
      </c>
      <c r="C68" s="19" t="s">
        <v>43</v>
      </c>
      <c r="D68" s="13" t="s">
        <v>335</v>
      </c>
      <c r="E68" s="13" t="s">
        <v>140</v>
      </c>
      <c r="F68" s="13" t="s">
        <v>698</v>
      </c>
      <c r="G68" s="13" t="s">
        <v>699</v>
      </c>
      <c r="H68" s="13"/>
      <c r="I68" s="13" t="s">
        <v>700</v>
      </c>
      <c r="J68" s="13" t="s">
        <v>701</v>
      </c>
      <c r="K68" s="13" t="s">
        <v>702</v>
      </c>
      <c r="L68" s="13" t="s">
        <v>256</v>
      </c>
      <c r="M68" s="13" t="s">
        <v>48</v>
      </c>
      <c r="N68" s="15" t="s">
        <v>34</v>
      </c>
      <c r="O68" s="15"/>
      <c r="P68" s="15"/>
      <c r="Q68" s="15"/>
      <c r="R68" s="15"/>
    </row>
    <row r="69" customFormat="false" ht="61.5" hidden="false" customHeight="true" outlineLevel="0" collapsed="false">
      <c r="A69" s="12" t="s">
        <v>704</v>
      </c>
      <c r="B69" s="13" t="s">
        <v>705</v>
      </c>
      <c r="C69" s="17" t="s">
        <v>39</v>
      </c>
      <c r="D69" s="13" t="s">
        <v>343</v>
      </c>
      <c r="E69" s="13" t="s">
        <v>111</v>
      </c>
      <c r="F69" s="13" t="s">
        <v>706</v>
      </c>
      <c r="G69" s="13" t="s">
        <v>707</v>
      </c>
      <c r="H69" s="13"/>
      <c r="I69" s="13" t="s">
        <v>708</v>
      </c>
      <c r="J69" s="13" t="s">
        <v>709</v>
      </c>
      <c r="K69" s="13" t="s">
        <v>710</v>
      </c>
      <c r="L69" s="13" t="s">
        <v>548</v>
      </c>
      <c r="M69" s="13" t="s">
        <v>48</v>
      </c>
      <c r="N69" s="15" t="s">
        <v>34</v>
      </c>
      <c r="O69" s="15"/>
      <c r="P69" s="15"/>
      <c r="Q69" s="15"/>
      <c r="R69" s="15"/>
    </row>
    <row r="70" customFormat="false" ht="61.5" hidden="false" customHeight="true" outlineLevel="0" collapsed="false">
      <c r="A70" s="12" t="s">
        <v>711</v>
      </c>
      <c r="B70" s="13" t="s">
        <v>712</v>
      </c>
      <c r="C70" s="16" t="s">
        <v>41</v>
      </c>
      <c r="D70" s="13" t="s">
        <v>343</v>
      </c>
      <c r="E70" s="13" t="s">
        <v>111</v>
      </c>
      <c r="F70" s="13" t="s">
        <v>713</v>
      </c>
      <c r="G70" s="13" t="s">
        <v>714</v>
      </c>
      <c r="H70" s="13"/>
      <c r="I70" s="13" t="s">
        <v>715</v>
      </c>
      <c r="J70" s="13" t="s">
        <v>716</v>
      </c>
      <c r="K70" s="13" t="s">
        <v>717</v>
      </c>
      <c r="L70" s="13" t="s">
        <v>480</v>
      </c>
      <c r="M70" s="13" t="s">
        <v>48</v>
      </c>
      <c r="N70" s="15" t="s">
        <v>34</v>
      </c>
      <c r="O70" s="15"/>
      <c r="P70" s="15"/>
      <c r="Q70" s="15"/>
      <c r="R70" s="15"/>
    </row>
    <row r="71" customFormat="false" ht="61.5" hidden="false" customHeight="true" outlineLevel="0" collapsed="false">
      <c r="A71" s="12" t="s">
        <v>718</v>
      </c>
      <c r="B71" s="13" t="s">
        <v>719</v>
      </c>
      <c r="C71" s="19" t="s">
        <v>43</v>
      </c>
      <c r="D71" s="13" t="s">
        <v>283</v>
      </c>
      <c r="E71" s="13" t="s">
        <v>140</v>
      </c>
      <c r="F71" s="13" t="s">
        <v>720</v>
      </c>
      <c r="G71" s="13" t="s">
        <v>721</v>
      </c>
      <c r="H71" s="13"/>
      <c r="I71" s="13" t="s">
        <v>722</v>
      </c>
      <c r="J71" s="13" t="s">
        <v>723</v>
      </c>
      <c r="K71" s="13" t="s">
        <v>724</v>
      </c>
      <c r="L71" s="13" t="s">
        <v>256</v>
      </c>
      <c r="M71" s="13" t="s">
        <v>48</v>
      </c>
      <c r="N71" s="15" t="s">
        <v>34</v>
      </c>
      <c r="O71" s="15"/>
      <c r="P71" s="15"/>
      <c r="Q71" s="15"/>
      <c r="R71" s="15"/>
    </row>
    <row r="72" customFormat="false" ht="61.5" hidden="false" customHeight="true" outlineLevel="0" collapsed="false">
      <c r="A72" s="12" t="s">
        <v>725</v>
      </c>
      <c r="B72" s="13" t="s">
        <v>726</v>
      </c>
      <c r="C72" s="18" t="s">
        <v>45</v>
      </c>
      <c r="D72" s="13" t="s">
        <v>283</v>
      </c>
      <c r="E72" s="13" t="s">
        <v>140</v>
      </c>
      <c r="F72" s="13" t="s">
        <v>727</v>
      </c>
      <c r="G72" s="13" t="s">
        <v>728</v>
      </c>
      <c r="H72" s="13"/>
      <c r="I72" s="13" t="s">
        <v>729</v>
      </c>
      <c r="J72" s="13" t="s">
        <v>730</v>
      </c>
      <c r="K72" s="13" t="s">
        <v>731</v>
      </c>
      <c r="L72" s="13" t="s">
        <v>256</v>
      </c>
      <c r="M72" s="13" t="s">
        <v>48</v>
      </c>
      <c r="N72" s="15" t="s">
        <v>34</v>
      </c>
      <c r="O72" s="15"/>
      <c r="P72" s="15"/>
      <c r="Q72" s="15"/>
      <c r="R72" s="15"/>
    </row>
    <row r="73" customFormat="false" ht="61.5" hidden="false" customHeight="true" outlineLevel="0" collapsed="false">
      <c r="A73" s="12" t="s">
        <v>732</v>
      </c>
      <c r="B73" s="13" t="s">
        <v>733</v>
      </c>
      <c r="C73" s="16" t="s">
        <v>41</v>
      </c>
      <c r="D73" s="13" t="s">
        <v>210</v>
      </c>
      <c r="E73" s="13" t="s">
        <v>111</v>
      </c>
      <c r="F73" s="13" t="s">
        <v>734</v>
      </c>
      <c r="G73" s="13" t="s">
        <v>735</v>
      </c>
      <c r="H73" s="13"/>
      <c r="I73" s="13" t="s">
        <v>736</v>
      </c>
      <c r="J73" s="13" t="s">
        <v>737</v>
      </c>
      <c r="K73" s="13" t="s">
        <v>738</v>
      </c>
      <c r="L73" s="13" t="s">
        <v>380</v>
      </c>
      <c r="M73" s="13" t="s">
        <v>48</v>
      </c>
      <c r="N73" s="15" t="s">
        <v>34</v>
      </c>
      <c r="O73" s="15"/>
      <c r="P73" s="15"/>
      <c r="Q73" s="15"/>
      <c r="R73" s="15"/>
    </row>
    <row r="74" customFormat="false" ht="61.5" hidden="false" customHeight="true" outlineLevel="0" collapsed="false">
      <c r="A74" s="12" t="s">
        <v>541</v>
      </c>
      <c r="B74" s="13" t="s">
        <v>542</v>
      </c>
      <c r="C74" s="17" t="s">
        <v>39</v>
      </c>
      <c r="D74" s="13" t="s">
        <v>283</v>
      </c>
      <c r="E74" s="13" t="s">
        <v>111</v>
      </c>
      <c r="F74" s="13" t="s">
        <v>543</v>
      </c>
      <c r="G74" s="13" t="s">
        <v>544</v>
      </c>
      <c r="H74" s="13"/>
      <c r="I74" s="13" t="s">
        <v>545</v>
      </c>
      <c r="J74" s="13" t="s">
        <v>546</v>
      </c>
      <c r="K74" s="13" t="s">
        <v>547</v>
      </c>
      <c r="L74" s="13" t="s">
        <v>548</v>
      </c>
      <c r="M74" s="13" t="s">
        <v>48</v>
      </c>
      <c r="N74" s="15" t="s">
        <v>34</v>
      </c>
      <c r="O74" s="15"/>
      <c r="P74" s="15"/>
      <c r="Q74" s="15"/>
      <c r="R74" s="15"/>
    </row>
    <row r="75" customFormat="false" ht="61.5" hidden="false" customHeight="true" outlineLevel="0" collapsed="false">
      <c r="A75" s="12" t="s">
        <v>549</v>
      </c>
      <c r="B75" s="13" t="s">
        <v>550</v>
      </c>
      <c r="C75" s="17" t="s">
        <v>39</v>
      </c>
      <c r="D75" s="13" t="s">
        <v>192</v>
      </c>
      <c r="E75" s="13" t="s">
        <v>111</v>
      </c>
      <c r="F75" s="13" t="s">
        <v>551</v>
      </c>
      <c r="G75" s="13" t="s">
        <v>552</v>
      </c>
      <c r="H75" s="13" t="s">
        <v>553</v>
      </c>
      <c r="I75" s="13" t="s">
        <v>554</v>
      </c>
      <c r="J75" s="13" t="s">
        <v>555</v>
      </c>
      <c r="K75" s="13" t="s">
        <v>556</v>
      </c>
      <c r="L75" s="13" t="s">
        <v>557</v>
      </c>
      <c r="M75" s="13" t="s">
        <v>48</v>
      </c>
      <c r="N75" s="15" t="s">
        <v>34</v>
      </c>
      <c r="O75" s="15"/>
      <c r="P75" s="15"/>
      <c r="Q75" s="15"/>
      <c r="R75" s="15"/>
    </row>
    <row r="76" customFormat="false" ht="61.5" hidden="false" customHeight="true" outlineLevel="0" collapsed="false">
      <c r="A76" s="12" t="s">
        <v>558</v>
      </c>
      <c r="B76" s="13" t="s">
        <v>559</v>
      </c>
      <c r="C76" s="16" t="s">
        <v>41</v>
      </c>
      <c r="D76" s="13" t="s">
        <v>283</v>
      </c>
      <c r="E76" s="13" t="s">
        <v>111</v>
      </c>
      <c r="F76" s="13" t="s">
        <v>560</v>
      </c>
      <c r="G76" s="13" t="s">
        <v>561</v>
      </c>
      <c r="H76" s="13"/>
      <c r="I76" s="13" t="s">
        <v>562</v>
      </c>
      <c r="J76" s="13" t="s">
        <v>563</v>
      </c>
      <c r="K76" s="13" t="s">
        <v>564</v>
      </c>
      <c r="L76" s="13" t="s">
        <v>480</v>
      </c>
      <c r="M76" s="13" t="s">
        <v>48</v>
      </c>
      <c r="N76" s="15" t="s">
        <v>34</v>
      </c>
      <c r="O76" s="15"/>
      <c r="P76" s="15"/>
      <c r="Q76" s="15"/>
      <c r="R76" s="15"/>
    </row>
    <row r="77" customFormat="false" ht="61.5" hidden="false" customHeight="true" outlineLevel="0" collapsed="false">
      <c r="A77" s="12" t="s">
        <v>565</v>
      </c>
      <c r="B77" s="13" t="s">
        <v>566</v>
      </c>
      <c r="C77" s="16" t="s">
        <v>41</v>
      </c>
      <c r="D77" s="13" t="s">
        <v>283</v>
      </c>
      <c r="E77" s="13" t="s">
        <v>111</v>
      </c>
      <c r="F77" s="13" t="s">
        <v>567</v>
      </c>
      <c r="G77" s="13" t="s">
        <v>568</v>
      </c>
      <c r="H77" s="13"/>
      <c r="I77" s="13" t="s">
        <v>569</v>
      </c>
      <c r="J77" s="13" t="s">
        <v>570</v>
      </c>
      <c r="K77" s="13" t="s">
        <v>571</v>
      </c>
      <c r="L77" s="13" t="s">
        <v>364</v>
      </c>
      <c r="M77" s="13" t="s">
        <v>48</v>
      </c>
      <c r="N77" s="15" t="s">
        <v>34</v>
      </c>
      <c r="O77" s="15"/>
      <c r="P77" s="15"/>
      <c r="Q77" s="15"/>
      <c r="R77" s="15"/>
    </row>
    <row r="78" customFormat="false" ht="61.5" hidden="false" customHeight="true" outlineLevel="0" collapsed="false">
      <c r="A78" s="12" t="s">
        <v>572</v>
      </c>
      <c r="B78" s="13" t="s">
        <v>573</v>
      </c>
      <c r="C78" s="16" t="s">
        <v>41</v>
      </c>
      <c r="D78" s="13" t="s">
        <v>283</v>
      </c>
      <c r="E78" s="13" t="s">
        <v>140</v>
      </c>
      <c r="F78" s="13" t="s">
        <v>574</v>
      </c>
      <c r="G78" s="13" t="s">
        <v>575</v>
      </c>
      <c r="H78" s="13"/>
      <c r="I78" s="13" t="s">
        <v>576</v>
      </c>
      <c r="J78" s="13" t="s">
        <v>577</v>
      </c>
      <c r="K78" s="13" t="s">
        <v>578</v>
      </c>
      <c r="L78" s="13" t="s">
        <v>532</v>
      </c>
      <c r="M78" s="13" t="s">
        <v>48</v>
      </c>
      <c r="N78" s="15" t="s">
        <v>34</v>
      </c>
      <c r="O78" s="15"/>
      <c r="P78" s="15"/>
      <c r="Q78" s="15"/>
      <c r="R78" s="15"/>
    </row>
    <row r="79" customFormat="false" ht="61.5" hidden="false" customHeight="true" outlineLevel="0" collapsed="false">
      <c r="A79" s="12" t="s">
        <v>579</v>
      </c>
      <c r="B79" s="13" t="s">
        <v>580</v>
      </c>
      <c r="C79" s="14" t="s">
        <v>37</v>
      </c>
      <c r="D79" s="13" t="s">
        <v>110</v>
      </c>
      <c r="E79" s="13" t="s">
        <v>111</v>
      </c>
      <c r="F79" s="13" t="s">
        <v>581</v>
      </c>
      <c r="G79" s="13" t="s">
        <v>582</v>
      </c>
      <c r="H79" s="13"/>
      <c r="I79" s="13" t="s">
        <v>583</v>
      </c>
      <c r="J79" s="13" t="s">
        <v>584</v>
      </c>
      <c r="K79" s="13" t="s">
        <v>585</v>
      </c>
      <c r="L79" s="13" t="s">
        <v>586</v>
      </c>
      <c r="M79" s="13" t="s">
        <v>48</v>
      </c>
      <c r="N79" s="15" t="s">
        <v>34</v>
      </c>
      <c r="O79" s="15"/>
      <c r="P79" s="15"/>
      <c r="Q79" s="15"/>
      <c r="R79" s="15"/>
    </row>
    <row r="80" customFormat="false" ht="61.5" hidden="false" customHeight="true" outlineLevel="0" collapsed="false">
      <c r="A80" s="12" t="s">
        <v>587</v>
      </c>
      <c r="B80" s="13" t="s">
        <v>588</v>
      </c>
      <c r="C80" s="19" t="s">
        <v>43</v>
      </c>
      <c r="D80" s="13" t="s">
        <v>129</v>
      </c>
      <c r="E80" s="13" t="s">
        <v>111</v>
      </c>
      <c r="F80" s="13" t="s">
        <v>589</v>
      </c>
      <c r="G80" s="13" t="s">
        <v>590</v>
      </c>
      <c r="H80" s="13" t="s">
        <v>591</v>
      </c>
      <c r="I80" s="13" t="s">
        <v>592</v>
      </c>
      <c r="J80" s="13" t="s">
        <v>593</v>
      </c>
      <c r="K80" s="13" t="s">
        <v>594</v>
      </c>
      <c r="L80" s="13" t="s">
        <v>380</v>
      </c>
      <c r="M80" s="13" t="s">
        <v>48</v>
      </c>
      <c r="N80" s="15" t="s">
        <v>34</v>
      </c>
      <c r="O80" s="15"/>
      <c r="P80" s="15"/>
      <c r="Q80" s="15"/>
      <c r="R80" s="15"/>
    </row>
    <row r="81" customFormat="false" ht="61.5" hidden="false" customHeight="true" outlineLevel="0" collapsed="false">
      <c r="A81" s="12" t="s">
        <v>595</v>
      </c>
      <c r="B81" s="13" t="s">
        <v>596</v>
      </c>
      <c r="C81" s="19" t="s">
        <v>43</v>
      </c>
      <c r="D81" s="13" t="s">
        <v>283</v>
      </c>
      <c r="E81" s="13" t="s">
        <v>140</v>
      </c>
      <c r="F81" s="13" t="s">
        <v>597</v>
      </c>
      <c r="G81" s="13" t="s">
        <v>598</v>
      </c>
      <c r="H81" s="13"/>
      <c r="I81" s="13" t="s">
        <v>599</v>
      </c>
      <c r="J81" s="13" t="s">
        <v>600</v>
      </c>
      <c r="K81" s="13" t="s">
        <v>601</v>
      </c>
      <c r="L81" s="13" t="s">
        <v>602</v>
      </c>
      <c r="M81" s="13" t="s">
        <v>48</v>
      </c>
      <c r="N81" s="15" t="s">
        <v>34</v>
      </c>
      <c r="O81" s="15"/>
      <c r="P81" s="15"/>
      <c r="Q81" s="15"/>
      <c r="R81" s="15"/>
    </row>
    <row r="82" customFormat="false" ht="61.5" hidden="false" customHeight="true" outlineLevel="0" collapsed="false">
      <c r="A82" s="12" t="s">
        <v>603</v>
      </c>
      <c r="B82" s="13" t="s">
        <v>604</v>
      </c>
      <c r="C82" s="19" t="s">
        <v>43</v>
      </c>
      <c r="D82" s="13" t="s">
        <v>343</v>
      </c>
      <c r="E82" s="13" t="s">
        <v>140</v>
      </c>
      <c r="F82" s="13" t="s">
        <v>605</v>
      </c>
      <c r="G82" s="13" t="s">
        <v>606</v>
      </c>
      <c r="H82" s="13"/>
      <c r="I82" s="13" t="s">
        <v>607</v>
      </c>
      <c r="J82" s="13" t="s">
        <v>608</v>
      </c>
      <c r="K82" s="13" t="s">
        <v>609</v>
      </c>
      <c r="L82" s="13" t="s">
        <v>480</v>
      </c>
      <c r="M82" s="13" t="s">
        <v>48</v>
      </c>
      <c r="N82" s="15" t="s">
        <v>34</v>
      </c>
      <c r="O82" s="15"/>
      <c r="P82" s="15"/>
      <c r="Q82" s="15"/>
      <c r="R82" s="15"/>
    </row>
    <row r="83" customFormat="false" ht="61.5" hidden="false" customHeight="true" outlineLevel="0" collapsed="false">
      <c r="A83" s="12" t="s">
        <v>610</v>
      </c>
      <c r="B83" s="13" t="s">
        <v>611</v>
      </c>
      <c r="C83" s="19" t="s">
        <v>43</v>
      </c>
      <c r="D83" s="13" t="s">
        <v>283</v>
      </c>
      <c r="E83" s="13" t="s">
        <v>111</v>
      </c>
      <c r="F83" s="13" t="s">
        <v>612</v>
      </c>
      <c r="G83" s="13" t="s">
        <v>613</v>
      </c>
      <c r="H83" s="13"/>
      <c r="I83" s="13" t="s">
        <v>614</v>
      </c>
      <c r="J83" s="13" t="s">
        <v>615</v>
      </c>
      <c r="K83" s="13" t="s">
        <v>616</v>
      </c>
      <c r="L83" s="13" t="s">
        <v>480</v>
      </c>
      <c r="M83" s="13" t="s">
        <v>48</v>
      </c>
      <c r="N83" s="15" t="s">
        <v>34</v>
      </c>
      <c r="O83" s="15"/>
      <c r="P83" s="15"/>
      <c r="Q83" s="15"/>
      <c r="R83" s="15"/>
    </row>
    <row r="84" customFormat="false" ht="61.5" hidden="false" customHeight="true" outlineLevel="0" collapsed="false">
      <c r="A84" s="12" t="s">
        <v>740</v>
      </c>
      <c r="B84" s="13" t="s">
        <v>741</v>
      </c>
      <c r="C84" s="14" t="s">
        <v>37</v>
      </c>
      <c r="D84" s="13" t="s">
        <v>742</v>
      </c>
      <c r="E84" s="13" t="s">
        <v>111</v>
      </c>
      <c r="F84" s="13" t="s">
        <v>743</v>
      </c>
      <c r="G84" s="13" t="s">
        <v>744</v>
      </c>
      <c r="H84" s="13"/>
      <c r="I84" s="13" t="s">
        <v>745</v>
      </c>
      <c r="J84" s="13" t="s">
        <v>746</v>
      </c>
      <c r="K84" s="13" t="s">
        <v>747</v>
      </c>
      <c r="L84" s="13" t="s">
        <v>480</v>
      </c>
      <c r="M84" s="13" t="s">
        <v>48</v>
      </c>
      <c r="N84" s="15" t="s">
        <v>34</v>
      </c>
      <c r="O84" s="15"/>
      <c r="P84" s="15"/>
      <c r="Q84" s="15"/>
      <c r="R84" s="15"/>
    </row>
    <row r="85" customFormat="false" ht="61.5" hidden="false" customHeight="true" outlineLevel="0" collapsed="false">
      <c r="A85" s="12" t="s">
        <v>748</v>
      </c>
      <c r="B85" s="13" t="s">
        <v>749</v>
      </c>
      <c r="C85" s="17" t="s">
        <v>39</v>
      </c>
      <c r="D85" s="13" t="s">
        <v>742</v>
      </c>
      <c r="E85" s="13" t="s">
        <v>111</v>
      </c>
      <c r="F85" s="13" t="s">
        <v>750</v>
      </c>
      <c r="G85" s="13" t="s">
        <v>751</v>
      </c>
      <c r="H85" s="13"/>
      <c r="I85" s="13" t="s">
        <v>752</v>
      </c>
      <c r="J85" s="13" t="s">
        <v>753</v>
      </c>
      <c r="K85" s="13" t="s">
        <v>754</v>
      </c>
      <c r="L85" s="13" t="s">
        <v>755</v>
      </c>
      <c r="M85" s="13" t="s">
        <v>50</v>
      </c>
      <c r="N85" s="15" t="s">
        <v>34</v>
      </c>
      <c r="O85" s="15"/>
      <c r="P85" s="15"/>
      <c r="Q85" s="15"/>
      <c r="R85" s="15"/>
    </row>
    <row r="86" customFormat="false" ht="61.5" hidden="false" customHeight="true" outlineLevel="0" collapsed="false">
      <c r="A86" s="12" t="s">
        <v>756</v>
      </c>
      <c r="B86" s="13" t="s">
        <v>757</v>
      </c>
      <c r="C86" s="17" t="s">
        <v>39</v>
      </c>
      <c r="D86" s="13" t="s">
        <v>742</v>
      </c>
      <c r="E86" s="13" t="s">
        <v>140</v>
      </c>
      <c r="F86" s="13" t="s">
        <v>758</v>
      </c>
      <c r="G86" s="13" t="s">
        <v>759</v>
      </c>
      <c r="H86" s="13"/>
      <c r="I86" s="13" t="s">
        <v>760</v>
      </c>
      <c r="J86" s="13" t="s">
        <v>761</v>
      </c>
      <c r="K86" s="13" t="s">
        <v>762</v>
      </c>
      <c r="L86" s="13" t="s">
        <v>256</v>
      </c>
      <c r="M86" s="13" t="s">
        <v>48</v>
      </c>
      <c r="N86" s="15" t="s">
        <v>34</v>
      </c>
      <c r="O86" s="15"/>
      <c r="P86" s="15"/>
      <c r="Q86" s="15"/>
      <c r="R86" s="15"/>
    </row>
    <row r="87" customFormat="false" ht="61.5" hidden="false" customHeight="true" outlineLevel="0" collapsed="false">
      <c r="A87" s="12" t="s">
        <v>763</v>
      </c>
      <c r="B87" s="13" t="s">
        <v>764</v>
      </c>
      <c r="C87" s="16" t="s">
        <v>41</v>
      </c>
      <c r="D87" s="13" t="s">
        <v>742</v>
      </c>
      <c r="E87" s="13" t="s">
        <v>173</v>
      </c>
      <c r="F87" s="13" t="s">
        <v>765</v>
      </c>
      <c r="G87" s="13" t="s">
        <v>766</v>
      </c>
      <c r="H87" s="13"/>
      <c r="I87" s="13" t="s">
        <v>767</v>
      </c>
      <c r="J87" s="13" t="s">
        <v>768</v>
      </c>
      <c r="K87" s="13" t="s">
        <v>769</v>
      </c>
      <c r="L87" s="13" t="s">
        <v>179</v>
      </c>
      <c r="M87" s="13" t="s">
        <v>48</v>
      </c>
      <c r="N87" s="15" t="s">
        <v>34</v>
      </c>
      <c r="O87" s="15"/>
      <c r="P87" s="15"/>
      <c r="Q87" s="15"/>
      <c r="R87" s="15"/>
    </row>
    <row r="88" customFormat="false" ht="61.5" hidden="false" customHeight="true" outlineLevel="0" collapsed="false">
      <c r="A88" s="12" t="s">
        <v>770</v>
      </c>
      <c r="B88" s="13" t="s">
        <v>771</v>
      </c>
      <c r="C88" s="19" t="s">
        <v>43</v>
      </c>
      <c r="D88" s="13" t="s">
        <v>742</v>
      </c>
      <c r="E88" s="13" t="s">
        <v>173</v>
      </c>
      <c r="F88" s="13" t="s">
        <v>772</v>
      </c>
      <c r="G88" s="13" t="s">
        <v>773</v>
      </c>
      <c r="H88" s="13"/>
      <c r="I88" s="13" t="s">
        <v>774</v>
      </c>
      <c r="J88" s="13" t="s">
        <v>775</v>
      </c>
      <c r="K88" s="13" t="s">
        <v>776</v>
      </c>
      <c r="L88" s="13" t="s">
        <v>179</v>
      </c>
      <c r="M88" s="13" t="s">
        <v>48</v>
      </c>
      <c r="N88" s="15" t="s">
        <v>34</v>
      </c>
      <c r="O88" s="15"/>
      <c r="P88" s="15"/>
      <c r="Q88" s="15"/>
      <c r="R88" s="15"/>
    </row>
    <row r="89" customFormat="false" ht="61.5" hidden="false" customHeight="true" outlineLevel="0" collapsed="false">
      <c r="A89" s="12" t="s">
        <v>777</v>
      </c>
      <c r="B89" s="13" t="s">
        <v>778</v>
      </c>
      <c r="C89" s="17" t="s">
        <v>39</v>
      </c>
      <c r="D89" s="13" t="s">
        <v>742</v>
      </c>
      <c r="E89" s="13" t="s">
        <v>173</v>
      </c>
      <c r="F89" s="13" t="s">
        <v>779</v>
      </c>
      <c r="G89" s="13" t="s">
        <v>780</v>
      </c>
      <c r="H89" s="13"/>
      <c r="I89" s="13" t="s">
        <v>781</v>
      </c>
      <c r="J89" s="13" t="s">
        <v>782</v>
      </c>
      <c r="K89" s="13" t="s">
        <v>783</v>
      </c>
      <c r="L89" s="13" t="s">
        <v>188</v>
      </c>
      <c r="M89" s="13" t="s">
        <v>48</v>
      </c>
      <c r="N89" s="15" t="s">
        <v>34</v>
      </c>
      <c r="O89" s="15"/>
      <c r="P89" s="15"/>
      <c r="Q89" s="15"/>
      <c r="R89" s="15"/>
    </row>
    <row r="90" customFormat="false" ht="61.5" hidden="false" customHeight="true" outlineLevel="0" collapsed="false">
      <c r="A90" s="12" t="s">
        <v>784</v>
      </c>
      <c r="B90" s="13" t="s">
        <v>785</v>
      </c>
      <c r="C90" s="19" t="s">
        <v>43</v>
      </c>
      <c r="D90" s="13" t="s">
        <v>742</v>
      </c>
      <c r="E90" s="13" t="s">
        <v>111</v>
      </c>
      <c r="F90" s="13" t="s">
        <v>786</v>
      </c>
      <c r="G90" s="13" t="s">
        <v>787</v>
      </c>
      <c r="H90" s="13"/>
      <c r="I90" s="13" t="s">
        <v>788</v>
      </c>
      <c r="J90" s="13" t="s">
        <v>789</v>
      </c>
      <c r="K90" s="13" t="s">
        <v>790</v>
      </c>
      <c r="L90" s="13" t="s">
        <v>791</v>
      </c>
      <c r="M90" s="13" t="s">
        <v>50</v>
      </c>
      <c r="N90" s="15" t="s">
        <v>34</v>
      </c>
      <c r="O90" s="15"/>
      <c r="P90" s="15"/>
      <c r="Q90" s="15"/>
      <c r="R90" s="15"/>
    </row>
    <row r="91" customFormat="false" ht="61.5" hidden="false" customHeight="true" outlineLevel="0" collapsed="false">
      <c r="A91" s="12" t="s">
        <v>792</v>
      </c>
      <c r="B91" s="13" t="s">
        <v>793</v>
      </c>
      <c r="C91" s="19" t="s">
        <v>43</v>
      </c>
      <c r="D91" s="13" t="s">
        <v>742</v>
      </c>
      <c r="E91" s="13" t="s">
        <v>140</v>
      </c>
      <c r="F91" s="13" t="s">
        <v>794</v>
      </c>
      <c r="G91" s="13" t="s">
        <v>795</v>
      </c>
      <c r="H91" s="13"/>
      <c r="I91" s="13" t="s">
        <v>796</v>
      </c>
      <c r="J91" s="13" t="s">
        <v>797</v>
      </c>
      <c r="K91" s="13" t="s">
        <v>798</v>
      </c>
      <c r="L91" s="13" t="s">
        <v>248</v>
      </c>
      <c r="M91" s="13" t="s">
        <v>50</v>
      </c>
      <c r="N91" s="15" t="s">
        <v>34</v>
      </c>
      <c r="O91" s="15"/>
      <c r="P91" s="15"/>
      <c r="Q91" s="15"/>
      <c r="R91" s="15"/>
    </row>
    <row r="92" customFormat="false" ht="61.5" hidden="false" customHeight="true" outlineLevel="0" collapsed="false">
      <c r="A92" s="12" t="s">
        <v>800</v>
      </c>
      <c r="B92" s="13" t="s">
        <v>801</v>
      </c>
      <c r="C92" s="17" t="s">
        <v>39</v>
      </c>
      <c r="D92" s="13" t="s">
        <v>301</v>
      </c>
      <c r="E92" s="13" t="s">
        <v>111</v>
      </c>
      <c r="F92" s="13" t="s">
        <v>802</v>
      </c>
      <c r="G92" s="13" t="s">
        <v>803</v>
      </c>
      <c r="H92" s="13"/>
      <c r="I92" s="13" t="s">
        <v>804</v>
      </c>
      <c r="J92" s="13" t="s">
        <v>805</v>
      </c>
      <c r="K92" s="13" t="s">
        <v>806</v>
      </c>
      <c r="L92" s="13" t="s">
        <v>524</v>
      </c>
      <c r="M92" s="13" t="s">
        <v>48</v>
      </c>
      <c r="N92" s="15" t="s">
        <v>34</v>
      </c>
      <c r="O92" s="15"/>
      <c r="P92" s="15"/>
      <c r="Q92" s="15"/>
      <c r="R92" s="15"/>
    </row>
    <row r="93" customFormat="false" ht="61.5" hidden="false" customHeight="true" outlineLevel="0" collapsed="false">
      <c r="A93" s="12" t="s">
        <v>807</v>
      </c>
      <c r="B93" s="13" t="s">
        <v>808</v>
      </c>
      <c r="C93" s="16" t="s">
        <v>41</v>
      </c>
      <c r="D93" s="13" t="s">
        <v>301</v>
      </c>
      <c r="E93" s="13" t="s">
        <v>140</v>
      </c>
      <c r="F93" s="13" t="s">
        <v>809</v>
      </c>
      <c r="G93" s="13" t="s">
        <v>810</v>
      </c>
      <c r="H93" s="13" t="s">
        <v>811</v>
      </c>
      <c r="I93" s="13" t="s">
        <v>812</v>
      </c>
      <c r="J93" s="13" t="s">
        <v>813</v>
      </c>
      <c r="K93" s="13" t="s">
        <v>814</v>
      </c>
      <c r="L93" s="13" t="s">
        <v>380</v>
      </c>
      <c r="M93" s="13" t="s">
        <v>48</v>
      </c>
      <c r="N93" s="15" t="s">
        <v>34</v>
      </c>
      <c r="O93" s="15"/>
      <c r="P93" s="15"/>
      <c r="Q93" s="15"/>
      <c r="R93" s="15"/>
    </row>
    <row r="94" customFormat="false" ht="61.5" hidden="false" customHeight="true" outlineLevel="0" collapsed="false">
      <c r="A94" s="12" t="s">
        <v>815</v>
      </c>
      <c r="B94" s="13" t="s">
        <v>816</v>
      </c>
      <c r="C94" s="19" t="s">
        <v>43</v>
      </c>
      <c r="D94" s="13" t="s">
        <v>192</v>
      </c>
      <c r="E94" s="13" t="s">
        <v>140</v>
      </c>
      <c r="F94" s="13" t="s">
        <v>817</v>
      </c>
      <c r="G94" s="13" t="s">
        <v>818</v>
      </c>
      <c r="H94" s="13" t="s">
        <v>819</v>
      </c>
      <c r="I94" s="13" t="s">
        <v>820</v>
      </c>
      <c r="J94" s="13" t="s">
        <v>821</v>
      </c>
      <c r="K94" s="13" t="s">
        <v>822</v>
      </c>
      <c r="L94" s="13" t="s">
        <v>380</v>
      </c>
      <c r="M94" s="13" t="s">
        <v>48</v>
      </c>
      <c r="N94" s="15" t="s">
        <v>34</v>
      </c>
      <c r="O94" s="15"/>
      <c r="P94" s="15"/>
      <c r="Q94" s="15"/>
      <c r="R94" s="15"/>
    </row>
    <row r="95" customFormat="false" ht="61.5" hidden="false" customHeight="true" outlineLevel="0" collapsed="false">
      <c r="A95" s="12" t="s">
        <v>823</v>
      </c>
      <c r="B95" s="13" t="s">
        <v>824</v>
      </c>
      <c r="C95" s="17" t="s">
        <v>39</v>
      </c>
      <c r="D95" s="13" t="s">
        <v>301</v>
      </c>
      <c r="E95" s="13" t="s">
        <v>140</v>
      </c>
      <c r="F95" s="13" t="s">
        <v>825</v>
      </c>
      <c r="G95" s="13" t="s">
        <v>826</v>
      </c>
      <c r="H95" s="13"/>
      <c r="I95" s="13" t="s">
        <v>827</v>
      </c>
      <c r="J95" s="13" t="s">
        <v>828</v>
      </c>
      <c r="K95" s="13" t="s">
        <v>829</v>
      </c>
      <c r="L95" s="13" t="s">
        <v>380</v>
      </c>
      <c r="M95" s="13" t="s">
        <v>48</v>
      </c>
      <c r="N95" s="15" t="s">
        <v>34</v>
      </c>
      <c r="O95" s="15"/>
      <c r="P95" s="15"/>
      <c r="Q95" s="15"/>
      <c r="R95" s="15"/>
    </row>
    <row r="96" customFormat="false" ht="61.5" hidden="false" customHeight="true" outlineLevel="0" collapsed="false">
      <c r="A96" s="12" t="s">
        <v>830</v>
      </c>
      <c r="B96" s="13" t="s">
        <v>831</v>
      </c>
      <c r="C96" s="16" t="s">
        <v>41</v>
      </c>
      <c r="D96" s="13" t="s">
        <v>428</v>
      </c>
      <c r="E96" s="13" t="s">
        <v>140</v>
      </c>
      <c r="F96" s="13" t="s">
        <v>832</v>
      </c>
      <c r="G96" s="13" t="s">
        <v>833</v>
      </c>
      <c r="H96" s="13"/>
      <c r="I96" s="13" t="s">
        <v>834</v>
      </c>
      <c r="J96" s="13" t="s">
        <v>835</v>
      </c>
      <c r="K96" s="13" t="s">
        <v>836</v>
      </c>
      <c r="L96" s="13" t="s">
        <v>380</v>
      </c>
      <c r="M96" s="13" t="s">
        <v>48</v>
      </c>
      <c r="N96" s="15" t="s">
        <v>34</v>
      </c>
      <c r="O96" s="15"/>
      <c r="P96" s="15"/>
      <c r="Q96" s="15"/>
      <c r="R96" s="15"/>
    </row>
    <row r="97" customFormat="false" ht="61.5" hidden="false" customHeight="true" outlineLevel="0" collapsed="false">
      <c r="A97" s="12" t="s">
        <v>837</v>
      </c>
      <c r="B97" s="13" t="s">
        <v>838</v>
      </c>
      <c r="C97" s="19" t="s">
        <v>43</v>
      </c>
      <c r="D97" s="13" t="s">
        <v>110</v>
      </c>
      <c r="E97" s="13" t="s">
        <v>140</v>
      </c>
      <c r="F97" s="13" t="s">
        <v>839</v>
      </c>
      <c r="G97" s="13" t="s">
        <v>840</v>
      </c>
      <c r="H97" s="13"/>
      <c r="I97" s="13" t="s">
        <v>841</v>
      </c>
      <c r="J97" s="13" t="s">
        <v>842</v>
      </c>
      <c r="K97" s="13" t="s">
        <v>843</v>
      </c>
      <c r="L97" s="13" t="s">
        <v>280</v>
      </c>
      <c r="M97" s="13" t="s">
        <v>48</v>
      </c>
      <c r="N97" s="15" t="s">
        <v>34</v>
      </c>
      <c r="O97" s="15"/>
      <c r="P97" s="15"/>
      <c r="Q97" s="15"/>
      <c r="R97" s="15"/>
    </row>
    <row r="98" customFormat="false" ht="61.5" hidden="false" customHeight="true" outlineLevel="0" collapsed="false">
      <c r="A98" s="12" t="s">
        <v>844</v>
      </c>
      <c r="B98" s="13" t="s">
        <v>845</v>
      </c>
      <c r="C98" s="16" t="s">
        <v>41</v>
      </c>
      <c r="D98" s="13" t="s">
        <v>335</v>
      </c>
      <c r="E98" s="13" t="s">
        <v>140</v>
      </c>
      <c r="F98" s="13" t="s">
        <v>846</v>
      </c>
      <c r="G98" s="13" t="s">
        <v>847</v>
      </c>
      <c r="H98" s="13"/>
      <c r="I98" s="13" t="s">
        <v>848</v>
      </c>
      <c r="J98" s="13" t="s">
        <v>849</v>
      </c>
      <c r="K98" s="13" t="s">
        <v>850</v>
      </c>
      <c r="L98" s="13" t="s">
        <v>248</v>
      </c>
      <c r="M98" s="13" t="s">
        <v>50</v>
      </c>
      <c r="N98" s="15" t="s">
        <v>34</v>
      </c>
      <c r="O98" s="15"/>
      <c r="P98" s="15"/>
      <c r="Q98" s="15"/>
      <c r="R98" s="15"/>
    </row>
    <row r="99" customFormat="false" ht="61.5" hidden="false" customHeight="true" outlineLevel="0" collapsed="false">
      <c r="A99" s="12" t="s">
        <v>852</v>
      </c>
      <c r="B99" s="13" t="s">
        <v>853</v>
      </c>
      <c r="C99" s="17" t="s">
        <v>39</v>
      </c>
      <c r="D99" s="13" t="s">
        <v>301</v>
      </c>
      <c r="E99" s="13" t="s">
        <v>140</v>
      </c>
      <c r="F99" s="13" t="s">
        <v>854</v>
      </c>
      <c r="G99" s="13" t="s">
        <v>855</v>
      </c>
      <c r="H99" s="13"/>
      <c r="I99" s="13" t="s">
        <v>856</v>
      </c>
      <c r="J99" s="13" t="s">
        <v>857</v>
      </c>
      <c r="K99" s="13" t="s">
        <v>858</v>
      </c>
      <c r="L99" s="13" t="s">
        <v>289</v>
      </c>
      <c r="M99" s="13" t="s">
        <v>48</v>
      </c>
      <c r="N99" s="15" t="s">
        <v>34</v>
      </c>
      <c r="O99" s="15"/>
      <c r="P99" s="15"/>
      <c r="Q99" s="15"/>
      <c r="R99" s="15"/>
    </row>
    <row r="100" customFormat="false" ht="61.5" hidden="false" customHeight="true" outlineLevel="0" collapsed="false">
      <c r="A100" s="12" t="s">
        <v>859</v>
      </c>
      <c r="B100" s="13" t="s">
        <v>860</v>
      </c>
      <c r="C100" s="17" t="s">
        <v>39</v>
      </c>
      <c r="D100" s="13" t="s">
        <v>301</v>
      </c>
      <c r="E100" s="13" t="s">
        <v>173</v>
      </c>
      <c r="F100" s="13" t="s">
        <v>861</v>
      </c>
      <c r="G100" s="13" t="s">
        <v>862</v>
      </c>
      <c r="H100" s="13"/>
      <c r="I100" s="13" t="s">
        <v>863</v>
      </c>
      <c r="J100" s="13" t="s">
        <v>864</v>
      </c>
      <c r="K100" s="13" t="s">
        <v>865</v>
      </c>
      <c r="L100" s="13" t="s">
        <v>380</v>
      </c>
      <c r="M100" s="13" t="s">
        <v>48</v>
      </c>
      <c r="N100" s="15" t="s">
        <v>34</v>
      </c>
      <c r="O100" s="15"/>
      <c r="P100" s="15"/>
      <c r="Q100" s="15"/>
      <c r="R100" s="15"/>
    </row>
    <row r="101" customFormat="false" ht="61.5" hidden="false" customHeight="true" outlineLevel="0" collapsed="false">
      <c r="A101" s="12" t="s">
        <v>866</v>
      </c>
      <c r="B101" s="13" t="s">
        <v>867</v>
      </c>
      <c r="C101" s="16" t="s">
        <v>41</v>
      </c>
      <c r="D101" s="13" t="s">
        <v>301</v>
      </c>
      <c r="E101" s="13" t="s">
        <v>111</v>
      </c>
      <c r="F101" s="13" t="s">
        <v>868</v>
      </c>
      <c r="G101" s="13" t="s">
        <v>869</v>
      </c>
      <c r="H101" s="13"/>
      <c r="I101" s="13" t="s">
        <v>870</v>
      </c>
      <c r="J101" s="13" t="s">
        <v>871</v>
      </c>
      <c r="K101" s="13" t="s">
        <v>872</v>
      </c>
      <c r="L101" s="13" t="s">
        <v>873</v>
      </c>
      <c r="M101" s="13" t="s">
        <v>48</v>
      </c>
      <c r="N101" s="15" t="s">
        <v>34</v>
      </c>
      <c r="O101" s="15"/>
      <c r="P101" s="15"/>
      <c r="Q101" s="15"/>
      <c r="R101" s="15"/>
    </row>
    <row r="102" customFormat="false" ht="61.5" hidden="false" customHeight="true" outlineLevel="0" collapsed="false">
      <c r="A102" s="12" t="s">
        <v>874</v>
      </c>
      <c r="B102" s="13" t="s">
        <v>875</v>
      </c>
      <c r="C102" s="16" t="s">
        <v>41</v>
      </c>
      <c r="D102" s="13" t="s">
        <v>301</v>
      </c>
      <c r="E102" s="13" t="s">
        <v>111</v>
      </c>
      <c r="F102" s="13" t="s">
        <v>876</v>
      </c>
      <c r="G102" s="13" t="s">
        <v>877</v>
      </c>
      <c r="H102" s="13"/>
      <c r="I102" s="13" t="s">
        <v>878</v>
      </c>
      <c r="J102" s="13" t="s">
        <v>879</v>
      </c>
      <c r="K102" s="13" t="s">
        <v>880</v>
      </c>
      <c r="L102" s="13" t="s">
        <v>297</v>
      </c>
      <c r="M102" s="13" t="s">
        <v>48</v>
      </c>
      <c r="N102" s="15" t="s">
        <v>34</v>
      </c>
      <c r="O102" s="15"/>
      <c r="P102" s="15"/>
      <c r="Q102" s="15"/>
      <c r="R102" s="15"/>
    </row>
    <row r="103" customFormat="false" ht="61.5" hidden="false" customHeight="true" outlineLevel="0" collapsed="false">
      <c r="A103" s="12" t="s">
        <v>881</v>
      </c>
      <c r="B103" s="13" t="s">
        <v>882</v>
      </c>
      <c r="C103" s="19" t="s">
        <v>43</v>
      </c>
      <c r="D103" s="13" t="s">
        <v>129</v>
      </c>
      <c r="E103" s="13" t="s">
        <v>111</v>
      </c>
      <c r="F103" s="13" t="s">
        <v>883</v>
      </c>
      <c r="G103" s="13" t="s">
        <v>884</v>
      </c>
      <c r="H103" s="13"/>
      <c r="I103" s="13" t="s">
        <v>885</v>
      </c>
      <c r="J103" s="13" t="s">
        <v>886</v>
      </c>
      <c r="K103" s="13" t="s">
        <v>887</v>
      </c>
      <c r="L103" s="13" t="s">
        <v>380</v>
      </c>
      <c r="M103" s="13" t="s">
        <v>48</v>
      </c>
      <c r="N103" s="15" t="s">
        <v>34</v>
      </c>
      <c r="O103" s="15"/>
      <c r="P103" s="15"/>
      <c r="Q103" s="15"/>
      <c r="R103" s="15"/>
    </row>
    <row r="104" customFormat="false" ht="61.5" hidden="false" customHeight="true" outlineLevel="0" collapsed="false">
      <c r="A104" s="12" t="s">
        <v>889</v>
      </c>
      <c r="B104" s="13" t="s">
        <v>890</v>
      </c>
      <c r="C104" s="17" t="s">
        <v>39</v>
      </c>
      <c r="D104" s="13" t="s">
        <v>301</v>
      </c>
      <c r="E104" s="13" t="s">
        <v>173</v>
      </c>
      <c r="F104" s="13" t="s">
        <v>891</v>
      </c>
      <c r="G104" s="13" t="s">
        <v>892</v>
      </c>
      <c r="H104" s="13"/>
      <c r="I104" s="13" t="s">
        <v>893</v>
      </c>
      <c r="J104" s="13" t="s">
        <v>894</v>
      </c>
      <c r="K104" s="13" t="s">
        <v>895</v>
      </c>
      <c r="L104" s="13" t="s">
        <v>364</v>
      </c>
      <c r="M104" s="13" t="s">
        <v>48</v>
      </c>
      <c r="N104" s="15" t="s">
        <v>34</v>
      </c>
      <c r="O104" s="15"/>
      <c r="P104" s="15"/>
      <c r="Q104" s="15"/>
      <c r="R104" s="15"/>
    </row>
    <row r="105" customFormat="false" ht="61.5" hidden="false" customHeight="true" outlineLevel="0" collapsed="false">
      <c r="A105" s="12" t="s">
        <v>896</v>
      </c>
      <c r="B105" s="13" t="s">
        <v>897</v>
      </c>
      <c r="C105" s="16" t="s">
        <v>41</v>
      </c>
      <c r="D105" s="13" t="s">
        <v>192</v>
      </c>
      <c r="E105" s="13" t="s">
        <v>173</v>
      </c>
      <c r="F105" s="13" t="s">
        <v>898</v>
      </c>
      <c r="G105" s="13" t="s">
        <v>899</v>
      </c>
      <c r="H105" s="13" t="s">
        <v>900</v>
      </c>
      <c r="I105" s="13" t="s">
        <v>901</v>
      </c>
      <c r="J105" s="13" t="s">
        <v>902</v>
      </c>
      <c r="K105" s="13" t="s">
        <v>903</v>
      </c>
      <c r="L105" s="13" t="s">
        <v>904</v>
      </c>
      <c r="M105" s="13" t="s">
        <v>48</v>
      </c>
      <c r="N105" s="15" t="s">
        <v>34</v>
      </c>
      <c r="O105" s="15"/>
      <c r="P105" s="15"/>
      <c r="Q105" s="15"/>
      <c r="R105" s="15"/>
    </row>
    <row r="106" customFormat="false" ht="61.5" hidden="false" customHeight="true" outlineLevel="0" collapsed="false">
      <c r="A106" s="12" t="s">
        <v>905</v>
      </c>
      <c r="B106" s="13" t="s">
        <v>906</v>
      </c>
      <c r="C106" s="16" t="s">
        <v>41</v>
      </c>
      <c r="D106" s="13" t="s">
        <v>192</v>
      </c>
      <c r="E106" s="13" t="s">
        <v>173</v>
      </c>
      <c r="F106" s="13" t="s">
        <v>907</v>
      </c>
      <c r="G106" s="13" t="s">
        <v>908</v>
      </c>
      <c r="H106" s="13" t="s">
        <v>909</v>
      </c>
      <c r="I106" s="13" t="s">
        <v>910</v>
      </c>
      <c r="J106" s="13" t="s">
        <v>911</v>
      </c>
      <c r="K106" s="13" t="s">
        <v>912</v>
      </c>
      <c r="L106" s="13" t="s">
        <v>179</v>
      </c>
      <c r="M106" s="13" t="s">
        <v>48</v>
      </c>
      <c r="N106" s="15" t="s">
        <v>34</v>
      </c>
      <c r="O106" s="15"/>
      <c r="P106" s="15"/>
      <c r="Q106" s="15"/>
      <c r="R106" s="15"/>
    </row>
    <row r="107" customFormat="false" ht="61.5" hidden="false" customHeight="true" outlineLevel="0" collapsed="false">
      <c r="A107" s="12" t="s">
        <v>913</v>
      </c>
      <c r="B107" s="13" t="s">
        <v>914</v>
      </c>
      <c r="C107" s="16" t="s">
        <v>41</v>
      </c>
      <c r="D107" s="13" t="s">
        <v>301</v>
      </c>
      <c r="E107" s="13" t="s">
        <v>173</v>
      </c>
      <c r="F107" s="13" t="s">
        <v>915</v>
      </c>
      <c r="G107" s="13" t="s">
        <v>916</v>
      </c>
      <c r="H107" s="13"/>
      <c r="I107" s="13" t="s">
        <v>917</v>
      </c>
      <c r="J107" s="13" t="s">
        <v>918</v>
      </c>
      <c r="K107" s="13" t="s">
        <v>919</v>
      </c>
      <c r="L107" s="13" t="s">
        <v>372</v>
      </c>
      <c r="M107" s="13" t="s">
        <v>48</v>
      </c>
      <c r="N107" s="15" t="s">
        <v>34</v>
      </c>
      <c r="O107" s="15"/>
      <c r="P107" s="15"/>
      <c r="Q107" s="15"/>
      <c r="R107" s="15"/>
    </row>
    <row r="108" customFormat="false" ht="61.5" hidden="false" customHeight="true" outlineLevel="0" collapsed="false">
      <c r="A108" s="12" t="s">
        <v>920</v>
      </c>
      <c r="B108" s="13" t="s">
        <v>921</v>
      </c>
      <c r="C108" s="16" t="s">
        <v>41</v>
      </c>
      <c r="D108" s="13" t="s">
        <v>210</v>
      </c>
      <c r="E108" s="13" t="s">
        <v>173</v>
      </c>
      <c r="F108" s="13" t="s">
        <v>922</v>
      </c>
      <c r="G108" s="13" t="s">
        <v>923</v>
      </c>
      <c r="H108" s="13"/>
      <c r="I108" s="13" t="s">
        <v>924</v>
      </c>
      <c r="J108" s="13" t="s">
        <v>925</v>
      </c>
      <c r="K108" s="13" t="s">
        <v>926</v>
      </c>
      <c r="L108" s="13" t="s">
        <v>927</v>
      </c>
      <c r="M108" s="13" t="s">
        <v>48</v>
      </c>
      <c r="N108" s="15" t="s">
        <v>34</v>
      </c>
      <c r="O108" s="15"/>
      <c r="P108" s="15"/>
      <c r="Q108" s="15"/>
      <c r="R108" s="15"/>
    </row>
    <row r="109" customFormat="false" ht="61.5" hidden="false" customHeight="true" outlineLevel="0" collapsed="false">
      <c r="A109" s="12" t="s">
        <v>928</v>
      </c>
      <c r="B109" s="13" t="s">
        <v>929</v>
      </c>
      <c r="C109" s="19" t="s">
        <v>43</v>
      </c>
      <c r="D109" s="13" t="s">
        <v>192</v>
      </c>
      <c r="E109" s="13" t="s">
        <v>173</v>
      </c>
      <c r="F109" s="13" t="s">
        <v>930</v>
      </c>
      <c r="G109" s="13" t="s">
        <v>931</v>
      </c>
      <c r="H109" s="13"/>
      <c r="I109" s="13" t="s">
        <v>932</v>
      </c>
      <c r="J109" s="13" t="s">
        <v>933</v>
      </c>
      <c r="K109" s="13" t="s">
        <v>934</v>
      </c>
      <c r="L109" s="13" t="s">
        <v>179</v>
      </c>
      <c r="M109" s="13" t="s">
        <v>48</v>
      </c>
      <c r="N109" s="15" t="s">
        <v>34</v>
      </c>
      <c r="O109" s="15"/>
      <c r="P109" s="15"/>
      <c r="Q109" s="15"/>
      <c r="R109" s="15"/>
    </row>
    <row r="110" customFormat="false" ht="61.5" hidden="false" customHeight="true" outlineLevel="0" collapsed="false">
      <c r="A110" s="12" t="s">
        <v>935</v>
      </c>
      <c r="B110" s="13" t="s">
        <v>936</v>
      </c>
      <c r="C110" s="19" t="s">
        <v>43</v>
      </c>
      <c r="D110" s="13" t="s">
        <v>129</v>
      </c>
      <c r="E110" s="13" t="s">
        <v>173</v>
      </c>
      <c r="F110" s="13" t="s">
        <v>937</v>
      </c>
      <c r="G110" s="13" t="s">
        <v>938</v>
      </c>
      <c r="H110" s="13"/>
      <c r="I110" s="13" t="s">
        <v>939</v>
      </c>
      <c r="J110" s="13" t="s">
        <v>940</v>
      </c>
      <c r="K110" s="13" t="s">
        <v>941</v>
      </c>
      <c r="L110" s="13" t="s">
        <v>179</v>
      </c>
      <c r="M110" s="13" t="s">
        <v>48</v>
      </c>
      <c r="N110" s="15" t="s">
        <v>34</v>
      </c>
      <c r="O110" s="15"/>
      <c r="P110" s="15"/>
      <c r="Q110" s="15"/>
      <c r="R110" s="15"/>
    </row>
    <row r="111" customFormat="false" ht="61.5" hidden="false" customHeight="true" outlineLevel="0" collapsed="false">
      <c r="A111" s="12" t="s">
        <v>942</v>
      </c>
      <c r="B111" s="13" t="s">
        <v>943</v>
      </c>
      <c r="C111" s="18" t="s">
        <v>45</v>
      </c>
      <c r="D111" s="13" t="s">
        <v>192</v>
      </c>
      <c r="E111" s="13" t="s">
        <v>173</v>
      </c>
      <c r="F111" s="13" t="s">
        <v>944</v>
      </c>
      <c r="G111" s="13" t="s">
        <v>945</v>
      </c>
      <c r="H111" s="13"/>
      <c r="I111" s="13" t="s">
        <v>946</v>
      </c>
      <c r="J111" s="13" t="s">
        <v>947</v>
      </c>
      <c r="K111" s="13" t="s">
        <v>948</v>
      </c>
      <c r="L111" s="13" t="s">
        <v>179</v>
      </c>
      <c r="M111" s="13" t="s">
        <v>48</v>
      </c>
      <c r="N111" s="15" t="s">
        <v>34</v>
      </c>
      <c r="O111" s="15"/>
      <c r="P111" s="15"/>
      <c r="Q111" s="15"/>
      <c r="R111" s="15"/>
    </row>
    <row r="112" customFormat="false" ht="61.5" hidden="false" customHeight="true" outlineLevel="0" collapsed="false">
      <c r="A112" s="12" t="s">
        <v>949</v>
      </c>
      <c r="B112" s="13" t="s">
        <v>950</v>
      </c>
      <c r="C112" s="16" t="s">
        <v>41</v>
      </c>
      <c r="D112" s="13" t="s">
        <v>301</v>
      </c>
      <c r="E112" s="13" t="s">
        <v>173</v>
      </c>
      <c r="F112" s="13" t="s">
        <v>951</v>
      </c>
      <c r="G112" s="13" t="s">
        <v>952</v>
      </c>
      <c r="H112" s="13"/>
      <c r="I112" s="13" t="s">
        <v>953</v>
      </c>
      <c r="J112" s="13" t="s">
        <v>954</v>
      </c>
      <c r="K112" s="13" t="s">
        <v>955</v>
      </c>
      <c r="L112" s="13" t="s">
        <v>956</v>
      </c>
      <c r="M112" s="13" t="s">
        <v>50</v>
      </c>
      <c r="N112" s="15" t="s">
        <v>34</v>
      </c>
      <c r="O112" s="15"/>
      <c r="P112" s="15"/>
      <c r="Q112" s="15"/>
      <c r="R112" s="15"/>
    </row>
    <row r="113" customFormat="false" ht="61.5" hidden="false" customHeight="true" outlineLevel="0" collapsed="false">
      <c r="A113" s="12" t="s">
        <v>957</v>
      </c>
      <c r="B113" s="13" t="s">
        <v>958</v>
      </c>
      <c r="C113" s="19" t="s">
        <v>43</v>
      </c>
      <c r="D113" s="13" t="s">
        <v>283</v>
      </c>
      <c r="E113" s="13" t="s">
        <v>173</v>
      </c>
      <c r="F113" s="13" t="s">
        <v>959</v>
      </c>
      <c r="G113" s="13" t="s">
        <v>960</v>
      </c>
      <c r="H113" s="13"/>
      <c r="I113" s="13" t="s">
        <v>961</v>
      </c>
      <c r="J113" s="13" t="s">
        <v>962</v>
      </c>
      <c r="K113" s="13" t="s">
        <v>963</v>
      </c>
      <c r="L113" s="13" t="s">
        <v>364</v>
      </c>
      <c r="M113" s="13" t="s">
        <v>48</v>
      </c>
      <c r="N113" s="15" t="s">
        <v>34</v>
      </c>
      <c r="O113" s="15"/>
      <c r="P113" s="15"/>
      <c r="Q113" s="15"/>
      <c r="R113" s="15"/>
    </row>
    <row r="114" customFormat="false" ht="61.5" hidden="false" customHeight="true" outlineLevel="0" collapsed="false">
      <c r="A114" s="12" t="s">
        <v>965</v>
      </c>
      <c r="B114" s="13" t="s">
        <v>966</v>
      </c>
      <c r="C114" s="17" t="s">
        <v>39</v>
      </c>
      <c r="D114" s="13" t="s">
        <v>210</v>
      </c>
      <c r="E114" s="13" t="s">
        <v>111</v>
      </c>
      <c r="F114" s="13" t="s">
        <v>967</v>
      </c>
      <c r="G114" s="13" t="s">
        <v>968</v>
      </c>
      <c r="H114" s="13"/>
      <c r="I114" s="13" t="s">
        <v>969</v>
      </c>
      <c r="J114" s="13" t="s">
        <v>970</v>
      </c>
      <c r="K114" s="13" t="s">
        <v>971</v>
      </c>
      <c r="L114" s="13" t="s">
        <v>380</v>
      </c>
      <c r="M114" s="13" t="s">
        <v>48</v>
      </c>
      <c r="N114" s="15" t="s">
        <v>34</v>
      </c>
      <c r="O114" s="15"/>
      <c r="P114" s="15"/>
      <c r="Q114" s="15"/>
      <c r="R114" s="15"/>
    </row>
    <row r="115" customFormat="false" ht="61.5" hidden="false" customHeight="true" outlineLevel="0" collapsed="false">
      <c r="A115" s="12" t="s">
        <v>972</v>
      </c>
      <c r="B115" s="13" t="s">
        <v>973</v>
      </c>
      <c r="C115" s="16" t="s">
        <v>41</v>
      </c>
      <c r="D115" s="13" t="s">
        <v>210</v>
      </c>
      <c r="E115" s="13" t="s">
        <v>111</v>
      </c>
      <c r="F115" s="13" t="s">
        <v>974</v>
      </c>
      <c r="G115" s="13" t="s">
        <v>975</v>
      </c>
      <c r="H115" s="13"/>
      <c r="I115" s="13" t="s">
        <v>976</v>
      </c>
      <c r="J115" s="13" t="s">
        <v>977</v>
      </c>
      <c r="K115" s="13" t="s">
        <v>978</v>
      </c>
      <c r="L115" s="13" t="s">
        <v>380</v>
      </c>
      <c r="M115" s="13" t="s">
        <v>48</v>
      </c>
      <c r="N115" s="15" t="s">
        <v>34</v>
      </c>
      <c r="O115" s="15"/>
      <c r="P115" s="15"/>
      <c r="Q115" s="15"/>
      <c r="R115" s="15"/>
    </row>
    <row r="116" customFormat="false" ht="61.5" hidden="false" customHeight="true" outlineLevel="0" collapsed="false">
      <c r="A116" s="12" t="s">
        <v>979</v>
      </c>
      <c r="B116" s="13" t="s">
        <v>980</v>
      </c>
      <c r="C116" s="17" t="s">
        <v>39</v>
      </c>
      <c r="D116" s="13" t="s">
        <v>210</v>
      </c>
      <c r="E116" s="13" t="s">
        <v>111</v>
      </c>
      <c r="F116" s="13" t="s">
        <v>981</v>
      </c>
      <c r="G116" s="13" t="s">
        <v>982</v>
      </c>
      <c r="H116" s="13"/>
      <c r="I116" s="13" t="s">
        <v>983</v>
      </c>
      <c r="J116" s="13" t="s">
        <v>984</v>
      </c>
      <c r="K116" s="13" t="s">
        <v>985</v>
      </c>
      <c r="L116" s="13" t="s">
        <v>602</v>
      </c>
      <c r="M116" s="13" t="s">
        <v>48</v>
      </c>
      <c r="N116" s="15" t="s">
        <v>34</v>
      </c>
      <c r="O116" s="15"/>
      <c r="P116" s="15"/>
      <c r="Q116" s="15"/>
      <c r="R116" s="15"/>
    </row>
    <row r="117" customFormat="false" ht="61.5" hidden="false" customHeight="true" outlineLevel="0" collapsed="false">
      <c r="A117" s="12" t="s">
        <v>986</v>
      </c>
      <c r="B117" s="13" t="s">
        <v>987</v>
      </c>
      <c r="C117" s="16" t="s">
        <v>41</v>
      </c>
      <c r="D117" s="13" t="s">
        <v>210</v>
      </c>
      <c r="E117" s="13" t="s">
        <v>111</v>
      </c>
      <c r="F117" s="13" t="s">
        <v>988</v>
      </c>
      <c r="G117" s="13" t="s">
        <v>989</v>
      </c>
      <c r="H117" s="13"/>
      <c r="I117" s="13" t="s">
        <v>990</v>
      </c>
      <c r="J117" s="13" t="s">
        <v>991</v>
      </c>
      <c r="K117" s="13" t="s">
        <v>992</v>
      </c>
      <c r="L117" s="13" t="s">
        <v>993</v>
      </c>
      <c r="M117" s="13" t="s">
        <v>50</v>
      </c>
      <c r="N117" s="15" t="s">
        <v>34</v>
      </c>
      <c r="O117" s="15"/>
      <c r="P117" s="15"/>
      <c r="Q117" s="15"/>
      <c r="R117" s="15"/>
    </row>
    <row r="118" customFormat="false" ht="61.5" hidden="false" customHeight="true" outlineLevel="0" collapsed="false">
      <c r="A118" s="12" t="s">
        <v>994</v>
      </c>
      <c r="B118" s="13" t="s">
        <v>995</v>
      </c>
      <c r="C118" s="17" t="s">
        <v>39</v>
      </c>
      <c r="D118" s="13" t="s">
        <v>210</v>
      </c>
      <c r="E118" s="13" t="s">
        <v>173</v>
      </c>
      <c r="F118" s="13" t="s">
        <v>996</v>
      </c>
      <c r="G118" s="13" t="s">
        <v>997</v>
      </c>
      <c r="H118" s="13"/>
      <c r="I118" s="13" t="s">
        <v>998</v>
      </c>
      <c r="J118" s="13" t="s">
        <v>999</v>
      </c>
      <c r="K118" s="13" t="s">
        <v>1000</v>
      </c>
      <c r="L118" s="13" t="s">
        <v>218</v>
      </c>
      <c r="M118" s="13" t="s">
        <v>48</v>
      </c>
      <c r="N118" s="15" t="s">
        <v>34</v>
      </c>
      <c r="O118" s="15"/>
      <c r="P118" s="15"/>
      <c r="Q118" s="15"/>
      <c r="R118" s="15"/>
    </row>
    <row r="119" customFormat="false" ht="61.5" hidden="false" customHeight="true" outlineLevel="0" collapsed="false">
      <c r="A119" s="12" t="s">
        <v>1001</v>
      </c>
      <c r="B119" s="13" t="s">
        <v>1002</v>
      </c>
      <c r="C119" s="19" t="s">
        <v>43</v>
      </c>
      <c r="D119" s="13" t="s">
        <v>210</v>
      </c>
      <c r="E119" s="13" t="s">
        <v>173</v>
      </c>
      <c r="F119" s="13" t="s">
        <v>1003</v>
      </c>
      <c r="G119" s="13" t="s">
        <v>1004</v>
      </c>
      <c r="H119" s="13"/>
      <c r="I119" s="13" t="s">
        <v>1005</v>
      </c>
      <c r="J119" s="13" t="s">
        <v>1006</v>
      </c>
      <c r="K119" s="13" t="s">
        <v>1007</v>
      </c>
      <c r="L119" s="13" t="s">
        <v>218</v>
      </c>
      <c r="M119" s="13" t="s">
        <v>48</v>
      </c>
      <c r="N119" s="15" t="s">
        <v>34</v>
      </c>
      <c r="O119" s="15"/>
      <c r="P119" s="15"/>
      <c r="Q119" s="15"/>
      <c r="R119" s="15"/>
    </row>
    <row r="120" customFormat="false" ht="61.5" hidden="false" customHeight="true" outlineLevel="0" collapsed="false">
      <c r="A120" s="12" t="s">
        <v>1008</v>
      </c>
      <c r="B120" s="13" t="s">
        <v>1009</v>
      </c>
      <c r="C120" s="16" t="s">
        <v>41</v>
      </c>
      <c r="D120" s="13" t="s">
        <v>210</v>
      </c>
      <c r="E120" s="13" t="s">
        <v>211</v>
      </c>
      <c r="F120" s="13" t="s">
        <v>1010</v>
      </c>
      <c r="G120" s="13" t="s">
        <v>1011</v>
      </c>
      <c r="H120" s="13"/>
      <c r="I120" s="13" t="s">
        <v>1012</v>
      </c>
      <c r="J120" s="13" t="s">
        <v>1013</v>
      </c>
      <c r="K120" s="13" t="s">
        <v>1014</v>
      </c>
      <c r="L120" s="13" t="s">
        <v>927</v>
      </c>
      <c r="M120" s="13" t="s">
        <v>50</v>
      </c>
      <c r="N120" s="15" t="s">
        <v>34</v>
      </c>
      <c r="O120" s="15"/>
      <c r="P120" s="15"/>
      <c r="Q120" s="15"/>
      <c r="R120" s="15"/>
    </row>
    <row r="121" customFormat="false" ht="61.5" hidden="false" customHeight="true" outlineLevel="0" collapsed="false">
      <c r="A121" s="12" t="s">
        <v>1015</v>
      </c>
      <c r="B121" s="13" t="s">
        <v>1016</v>
      </c>
      <c r="C121" s="16" t="s">
        <v>41</v>
      </c>
      <c r="D121" s="13" t="s">
        <v>210</v>
      </c>
      <c r="E121" s="13" t="s">
        <v>111</v>
      </c>
      <c r="F121" s="13" t="s">
        <v>1017</v>
      </c>
      <c r="G121" s="13" t="s">
        <v>1018</v>
      </c>
      <c r="H121" s="13"/>
      <c r="I121" s="13" t="s">
        <v>1019</v>
      </c>
      <c r="J121" s="13" t="s">
        <v>1020</v>
      </c>
      <c r="K121" s="13" t="s">
        <v>1021</v>
      </c>
      <c r="L121" s="13" t="s">
        <v>1022</v>
      </c>
      <c r="M121" s="13" t="s">
        <v>48</v>
      </c>
      <c r="N121" s="15" t="s">
        <v>34</v>
      </c>
      <c r="O121" s="15"/>
      <c r="P121" s="15"/>
      <c r="Q121" s="15"/>
      <c r="R121" s="15"/>
    </row>
    <row r="122" customFormat="false" ht="61.5" hidden="false" customHeight="true" outlineLevel="0" collapsed="false">
      <c r="A122" s="12" t="s">
        <v>1024</v>
      </c>
      <c r="B122" s="13" t="s">
        <v>1025</v>
      </c>
      <c r="C122" s="14" t="s">
        <v>37</v>
      </c>
      <c r="D122" s="13" t="s">
        <v>335</v>
      </c>
      <c r="E122" s="13" t="s">
        <v>111</v>
      </c>
      <c r="F122" s="13" t="s">
        <v>1026</v>
      </c>
      <c r="G122" s="13" t="s">
        <v>1027</v>
      </c>
      <c r="H122" s="13"/>
      <c r="I122" s="13" t="s">
        <v>1028</v>
      </c>
      <c r="J122" s="13" t="s">
        <v>1029</v>
      </c>
      <c r="K122" s="13" t="s">
        <v>1030</v>
      </c>
      <c r="L122" s="13" t="s">
        <v>1031</v>
      </c>
      <c r="M122" s="13" t="s">
        <v>48</v>
      </c>
      <c r="N122" s="15" t="s">
        <v>34</v>
      </c>
      <c r="O122" s="15"/>
      <c r="P122" s="15"/>
      <c r="Q122" s="15"/>
      <c r="R122" s="15"/>
    </row>
    <row r="123" customFormat="false" ht="61.5" hidden="false" customHeight="true" outlineLevel="0" collapsed="false">
      <c r="A123" s="12" t="s">
        <v>1032</v>
      </c>
      <c r="B123" s="13" t="s">
        <v>1033</v>
      </c>
      <c r="C123" s="17" t="s">
        <v>39</v>
      </c>
      <c r="D123" s="13" t="s">
        <v>335</v>
      </c>
      <c r="E123" s="13" t="s">
        <v>111</v>
      </c>
      <c r="F123" s="13" t="s">
        <v>1034</v>
      </c>
      <c r="G123" s="13" t="s">
        <v>1035</v>
      </c>
      <c r="H123" s="13"/>
      <c r="I123" s="13" t="s">
        <v>1036</v>
      </c>
      <c r="J123" s="13" t="s">
        <v>1037</v>
      </c>
      <c r="K123" s="13" t="s">
        <v>1038</v>
      </c>
      <c r="L123" s="13" t="s">
        <v>1039</v>
      </c>
      <c r="M123" s="13" t="s">
        <v>50</v>
      </c>
      <c r="N123" s="15" t="s">
        <v>34</v>
      </c>
      <c r="O123" s="15"/>
      <c r="P123" s="15"/>
      <c r="Q123" s="15"/>
      <c r="R123" s="15"/>
    </row>
    <row r="124" customFormat="false" ht="61.5" hidden="false" customHeight="true" outlineLevel="0" collapsed="false">
      <c r="A124" s="12" t="s">
        <v>1040</v>
      </c>
      <c r="B124" s="13" t="s">
        <v>1041</v>
      </c>
      <c r="C124" s="16" t="s">
        <v>41</v>
      </c>
      <c r="D124" s="13" t="s">
        <v>335</v>
      </c>
      <c r="E124" s="13" t="s">
        <v>111</v>
      </c>
      <c r="F124" s="13" t="s">
        <v>1042</v>
      </c>
      <c r="G124" s="13" t="s">
        <v>1043</v>
      </c>
      <c r="H124" s="13"/>
      <c r="I124" s="13" t="s">
        <v>1044</v>
      </c>
      <c r="J124" s="13" t="s">
        <v>1045</v>
      </c>
      <c r="K124" s="13" t="s">
        <v>1046</v>
      </c>
      <c r="L124" s="13" t="s">
        <v>1047</v>
      </c>
      <c r="M124" s="13" t="s">
        <v>50</v>
      </c>
      <c r="N124" s="15" t="s">
        <v>34</v>
      </c>
      <c r="O124" s="15"/>
      <c r="P124" s="15"/>
      <c r="Q124" s="15"/>
      <c r="R124" s="15"/>
    </row>
    <row r="125" customFormat="false" ht="61.5" hidden="false" customHeight="true" outlineLevel="0" collapsed="false">
      <c r="A125" s="12" t="s">
        <v>1048</v>
      </c>
      <c r="B125" s="13" t="s">
        <v>1049</v>
      </c>
      <c r="C125" s="17" t="s">
        <v>39</v>
      </c>
      <c r="D125" s="13" t="s">
        <v>335</v>
      </c>
      <c r="E125" s="13" t="s">
        <v>111</v>
      </c>
      <c r="F125" s="13" t="s">
        <v>1050</v>
      </c>
      <c r="G125" s="13" t="s">
        <v>1051</v>
      </c>
      <c r="H125" s="13"/>
      <c r="I125" s="13" t="s">
        <v>1052</v>
      </c>
      <c r="J125" s="13" t="s">
        <v>1053</v>
      </c>
      <c r="K125" s="13" t="s">
        <v>1054</v>
      </c>
      <c r="L125" s="13" t="s">
        <v>1055</v>
      </c>
      <c r="M125" s="13" t="s">
        <v>50</v>
      </c>
      <c r="N125" s="15" t="s">
        <v>34</v>
      </c>
      <c r="O125" s="15"/>
      <c r="P125" s="15"/>
      <c r="Q125" s="15"/>
      <c r="R125" s="15"/>
    </row>
    <row r="126" customFormat="false" ht="61.5" hidden="false" customHeight="true" outlineLevel="0" collapsed="false">
      <c r="A126" s="12" t="s">
        <v>1056</v>
      </c>
      <c r="B126" s="13" t="s">
        <v>1057</v>
      </c>
      <c r="C126" s="17" t="s">
        <v>39</v>
      </c>
      <c r="D126" s="13" t="s">
        <v>335</v>
      </c>
      <c r="E126" s="13" t="s">
        <v>111</v>
      </c>
      <c r="F126" s="13" t="s">
        <v>1058</v>
      </c>
      <c r="G126" s="13" t="s">
        <v>1059</v>
      </c>
      <c r="H126" s="13"/>
      <c r="I126" s="13" t="s">
        <v>1060</v>
      </c>
      <c r="J126" s="13" t="s">
        <v>1061</v>
      </c>
      <c r="K126" s="13" t="s">
        <v>1062</v>
      </c>
      <c r="L126" s="13" t="s">
        <v>380</v>
      </c>
      <c r="M126" s="13" t="s">
        <v>48</v>
      </c>
      <c r="N126" s="15" t="s">
        <v>34</v>
      </c>
      <c r="O126" s="15"/>
      <c r="P126" s="15"/>
      <c r="Q126" s="15"/>
      <c r="R126" s="15"/>
    </row>
    <row r="127" customFormat="false" ht="61.5" hidden="false" customHeight="true" outlineLevel="0" collapsed="false">
      <c r="A127" s="12" t="s">
        <v>1063</v>
      </c>
      <c r="B127" s="13" t="s">
        <v>1064</v>
      </c>
      <c r="C127" s="16" t="s">
        <v>41</v>
      </c>
      <c r="D127" s="13" t="s">
        <v>335</v>
      </c>
      <c r="E127" s="13" t="s">
        <v>111</v>
      </c>
      <c r="F127" s="13" t="s">
        <v>1065</v>
      </c>
      <c r="G127" s="13" t="s">
        <v>1066</v>
      </c>
      <c r="H127" s="13"/>
      <c r="I127" s="13" t="s">
        <v>1067</v>
      </c>
      <c r="J127" s="13" t="s">
        <v>1068</v>
      </c>
      <c r="K127" s="13" t="s">
        <v>1069</v>
      </c>
      <c r="L127" s="13" t="s">
        <v>532</v>
      </c>
      <c r="M127" s="13" t="s">
        <v>48</v>
      </c>
      <c r="N127" s="15" t="s">
        <v>34</v>
      </c>
      <c r="O127" s="15"/>
      <c r="P127" s="15"/>
      <c r="Q127" s="15"/>
      <c r="R127" s="15"/>
    </row>
    <row r="128" customFormat="false" ht="61.5" hidden="false" customHeight="true" outlineLevel="0" collapsed="false">
      <c r="A128" s="12" t="s">
        <v>1070</v>
      </c>
      <c r="B128" s="13" t="s">
        <v>1071</v>
      </c>
      <c r="C128" s="16" t="s">
        <v>41</v>
      </c>
      <c r="D128" s="13" t="s">
        <v>129</v>
      </c>
      <c r="E128" s="13" t="s">
        <v>111</v>
      </c>
      <c r="F128" s="13" t="s">
        <v>1072</v>
      </c>
      <c r="G128" s="13" t="s">
        <v>1073</v>
      </c>
      <c r="H128" s="13"/>
      <c r="I128" s="13" t="s">
        <v>1074</v>
      </c>
      <c r="J128" s="13" t="s">
        <v>1075</v>
      </c>
      <c r="K128" s="13" t="s">
        <v>1076</v>
      </c>
      <c r="L128" s="13" t="s">
        <v>1077</v>
      </c>
      <c r="M128" s="13" t="s">
        <v>48</v>
      </c>
      <c r="N128" s="15" t="s">
        <v>34</v>
      </c>
      <c r="O128" s="15"/>
      <c r="P128" s="15"/>
      <c r="Q128" s="15"/>
      <c r="R128" s="15"/>
    </row>
    <row r="129" customFormat="false" ht="61.5" hidden="false" customHeight="true" outlineLevel="0" collapsed="false">
      <c r="A129" s="12" t="s">
        <v>1078</v>
      </c>
      <c r="B129" s="13" t="s">
        <v>1079</v>
      </c>
      <c r="C129" s="19" t="s">
        <v>43</v>
      </c>
      <c r="D129" s="13" t="s">
        <v>129</v>
      </c>
      <c r="E129" s="13" t="s">
        <v>111</v>
      </c>
      <c r="F129" s="13" t="s">
        <v>1080</v>
      </c>
      <c r="G129" s="13" t="s">
        <v>1081</v>
      </c>
      <c r="H129" s="13"/>
      <c r="I129" s="13" t="s">
        <v>1082</v>
      </c>
      <c r="J129" s="13" t="s">
        <v>1083</v>
      </c>
      <c r="K129" s="13" t="s">
        <v>1084</v>
      </c>
      <c r="L129" s="13" t="s">
        <v>1085</v>
      </c>
      <c r="M129" s="13" t="s">
        <v>48</v>
      </c>
      <c r="N129" s="15" t="s">
        <v>34</v>
      </c>
      <c r="O129" s="15"/>
      <c r="P129" s="15"/>
      <c r="Q129" s="15"/>
      <c r="R129" s="15"/>
    </row>
    <row r="130" customFormat="false" ht="61.5" hidden="false" customHeight="true" outlineLevel="0" collapsed="false">
      <c r="A130" s="12" t="s">
        <v>1086</v>
      </c>
      <c r="B130" s="13" t="s">
        <v>1087</v>
      </c>
      <c r="C130" s="19" t="s">
        <v>43</v>
      </c>
      <c r="D130" s="13" t="s">
        <v>129</v>
      </c>
      <c r="E130" s="13" t="s">
        <v>111</v>
      </c>
      <c r="F130" s="13" t="s">
        <v>1088</v>
      </c>
      <c r="G130" s="13" t="s">
        <v>1089</v>
      </c>
      <c r="H130" s="13"/>
      <c r="I130" s="13" t="s">
        <v>1090</v>
      </c>
      <c r="J130" s="13" t="s">
        <v>1091</v>
      </c>
      <c r="K130" s="13" t="s">
        <v>1092</v>
      </c>
      <c r="L130" s="13" t="s">
        <v>1085</v>
      </c>
      <c r="M130" s="13" t="s">
        <v>48</v>
      </c>
      <c r="N130" s="15" t="s">
        <v>34</v>
      </c>
      <c r="O130" s="15"/>
      <c r="P130" s="15"/>
      <c r="Q130" s="15"/>
      <c r="R130" s="15"/>
    </row>
    <row r="131" customFormat="false" ht="61.5" hidden="false" customHeight="true" outlineLevel="0" collapsed="false">
      <c r="A131" s="12" t="s">
        <v>1093</v>
      </c>
      <c r="B131" s="13" t="s">
        <v>1094</v>
      </c>
      <c r="C131" s="17" t="s">
        <v>39</v>
      </c>
      <c r="D131" s="13" t="s">
        <v>335</v>
      </c>
      <c r="E131" s="13" t="s">
        <v>111</v>
      </c>
      <c r="F131" s="13" t="s">
        <v>1095</v>
      </c>
      <c r="G131" s="13" t="s">
        <v>1096</v>
      </c>
      <c r="H131" s="13"/>
      <c r="I131" s="13" t="s">
        <v>1097</v>
      </c>
      <c r="J131" s="13" t="s">
        <v>1098</v>
      </c>
      <c r="K131" s="13" t="s">
        <v>1099</v>
      </c>
      <c r="L131" s="13" t="s">
        <v>1047</v>
      </c>
      <c r="M131" s="13" t="s">
        <v>50</v>
      </c>
      <c r="N131" s="15" t="s">
        <v>34</v>
      </c>
      <c r="O131" s="15"/>
      <c r="P131" s="15"/>
      <c r="Q131" s="15"/>
      <c r="R131" s="15"/>
    </row>
    <row r="132" customFormat="false" ht="61.5" hidden="false" customHeight="true" outlineLevel="0" collapsed="false">
      <c r="A132" s="12" t="s">
        <v>1100</v>
      </c>
      <c r="B132" s="13" t="s">
        <v>1101</v>
      </c>
      <c r="C132" s="16" t="s">
        <v>41</v>
      </c>
      <c r="D132" s="13" t="s">
        <v>428</v>
      </c>
      <c r="E132" s="13" t="s">
        <v>111</v>
      </c>
      <c r="F132" s="13" t="s">
        <v>1102</v>
      </c>
      <c r="G132" s="13" t="s">
        <v>1103</v>
      </c>
      <c r="H132" s="13"/>
      <c r="I132" s="13" t="s">
        <v>1104</v>
      </c>
      <c r="J132" s="13" t="s">
        <v>1105</v>
      </c>
      <c r="K132" s="13" t="s">
        <v>1106</v>
      </c>
      <c r="L132" s="13" t="s">
        <v>297</v>
      </c>
      <c r="M132" s="13" t="s">
        <v>48</v>
      </c>
      <c r="N132" s="15" t="s">
        <v>34</v>
      </c>
      <c r="O132" s="15"/>
      <c r="P132" s="15"/>
      <c r="Q132" s="15"/>
      <c r="R132" s="15"/>
    </row>
    <row r="133" customFormat="false" ht="61.5" hidden="false" customHeight="true" outlineLevel="0" collapsed="false">
      <c r="A133" s="12" t="s">
        <v>1107</v>
      </c>
      <c r="B133" s="13" t="s">
        <v>1108</v>
      </c>
      <c r="C133" s="19" t="s">
        <v>43</v>
      </c>
      <c r="D133" s="13" t="s">
        <v>335</v>
      </c>
      <c r="E133" s="13" t="s">
        <v>140</v>
      </c>
      <c r="F133" s="13" t="s">
        <v>1109</v>
      </c>
      <c r="G133" s="13" t="s">
        <v>1110</v>
      </c>
      <c r="H133" s="13"/>
      <c r="I133" s="13" t="s">
        <v>1111</v>
      </c>
      <c r="J133" s="13" t="s">
        <v>1112</v>
      </c>
      <c r="K133" s="13" t="s">
        <v>1113</v>
      </c>
      <c r="L133" s="13" t="s">
        <v>256</v>
      </c>
      <c r="M133" s="13" t="s">
        <v>48</v>
      </c>
      <c r="N133" s="15" t="s">
        <v>34</v>
      </c>
      <c r="O133" s="15"/>
      <c r="P133" s="15"/>
      <c r="Q133" s="15"/>
      <c r="R133" s="15"/>
    </row>
    <row r="134" customFormat="false" ht="61.5" hidden="false" customHeight="true" outlineLevel="0" collapsed="false">
      <c r="A134" s="12" t="s">
        <v>1114</v>
      </c>
      <c r="B134" s="13" t="s">
        <v>1115</v>
      </c>
      <c r="C134" s="18" t="s">
        <v>45</v>
      </c>
      <c r="D134" s="13" t="s">
        <v>129</v>
      </c>
      <c r="E134" s="13" t="s">
        <v>140</v>
      </c>
      <c r="F134" s="13" t="s">
        <v>1116</v>
      </c>
      <c r="G134" s="13" t="s">
        <v>1117</v>
      </c>
      <c r="H134" s="13"/>
      <c r="I134" s="13" t="s">
        <v>1118</v>
      </c>
      <c r="J134" s="13" t="s">
        <v>1119</v>
      </c>
      <c r="K134" s="13" t="s">
        <v>1120</v>
      </c>
      <c r="L134" s="13" t="s">
        <v>256</v>
      </c>
      <c r="M134" s="13" t="s">
        <v>48</v>
      </c>
      <c r="N134" s="15" t="s">
        <v>34</v>
      </c>
      <c r="O134" s="15"/>
      <c r="P134" s="15"/>
      <c r="Q134" s="15"/>
      <c r="R134" s="15"/>
    </row>
    <row r="135" customFormat="false" ht="61.5" hidden="false" customHeight="true" outlineLevel="0" collapsed="false">
      <c r="A135" s="12" t="s">
        <v>1122</v>
      </c>
      <c r="B135" s="13" t="s">
        <v>1123</v>
      </c>
      <c r="C135" s="16" t="s">
        <v>41</v>
      </c>
      <c r="D135" s="13" t="s">
        <v>428</v>
      </c>
      <c r="E135" s="13" t="s">
        <v>111</v>
      </c>
      <c r="F135" s="13" t="s">
        <v>1124</v>
      </c>
      <c r="G135" s="13" t="s">
        <v>1125</v>
      </c>
      <c r="H135" s="13"/>
      <c r="I135" s="13" t="s">
        <v>1126</v>
      </c>
      <c r="J135" s="13" t="s">
        <v>1127</v>
      </c>
      <c r="K135" s="13" t="s">
        <v>1128</v>
      </c>
      <c r="L135" s="13" t="s">
        <v>1129</v>
      </c>
      <c r="M135" s="13" t="s">
        <v>48</v>
      </c>
      <c r="N135" s="15" t="s">
        <v>34</v>
      </c>
      <c r="O135" s="15"/>
      <c r="P135" s="15"/>
      <c r="Q135" s="15"/>
      <c r="R135" s="15"/>
    </row>
    <row r="136" customFormat="false" ht="61.5" hidden="false" customHeight="true" outlineLevel="0" collapsed="false">
      <c r="A136" s="12" t="s">
        <v>1130</v>
      </c>
      <c r="B136" s="13" t="s">
        <v>1131</v>
      </c>
      <c r="C136" s="16" t="s">
        <v>41</v>
      </c>
      <c r="D136" s="13" t="s">
        <v>428</v>
      </c>
      <c r="E136" s="13" t="s">
        <v>111</v>
      </c>
      <c r="F136" s="13" t="s">
        <v>1132</v>
      </c>
      <c r="G136" s="13" t="s">
        <v>1133</v>
      </c>
      <c r="H136" s="13"/>
      <c r="I136" s="13" t="s">
        <v>1134</v>
      </c>
      <c r="J136" s="13" t="s">
        <v>1135</v>
      </c>
      <c r="K136" s="13" t="s">
        <v>1136</v>
      </c>
      <c r="L136" s="13" t="s">
        <v>1137</v>
      </c>
      <c r="M136" s="13" t="s">
        <v>50</v>
      </c>
      <c r="N136" s="15" t="s">
        <v>34</v>
      </c>
      <c r="O136" s="15"/>
      <c r="P136" s="15"/>
      <c r="Q136" s="15"/>
      <c r="R136" s="15"/>
    </row>
    <row r="137" customFormat="false" ht="61.5" hidden="false" customHeight="true" outlineLevel="0" collapsed="false">
      <c r="A137" s="12" t="s">
        <v>1138</v>
      </c>
      <c r="B137" s="13" t="s">
        <v>1139</v>
      </c>
      <c r="C137" s="16" t="s">
        <v>41</v>
      </c>
      <c r="D137" s="13" t="s">
        <v>129</v>
      </c>
      <c r="E137" s="13" t="s">
        <v>111</v>
      </c>
      <c r="F137" s="13" t="s">
        <v>1140</v>
      </c>
      <c r="G137" s="13" t="s">
        <v>1141</v>
      </c>
      <c r="H137" s="13"/>
      <c r="I137" s="13" t="s">
        <v>1142</v>
      </c>
      <c r="J137" s="13" t="s">
        <v>1143</v>
      </c>
      <c r="K137" s="13" t="s">
        <v>1144</v>
      </c>
      <c r="L137" s="13" t="s">
        <v>1145</v>
      </c>
      <c r="M137" s="13" t="s">
        <v>50</v>
      </c>
      <c r="N137" s="15" t="s">
        <v>34</v>
      </c>
      <c r="O137" s="15"/>
      <c r="P137" s="15"/>
      <c r="Q137" s="15"/>
      <c r="R137" s="15"/>
    </row>
    <row r="138" customFormat="false" ht="61.5" hidden="false" customHeight="true" outlineLevel="0" collapsed="false">
      <c r="A138" s="12" t="s">
        <v>1146</v>
      </c>
      <c r="B138" s="13" t="s">
        <v>1147</v>
      </c>
      <c r="C138" s="16" t="s">
        <v>41</v>
      </c>
      <c r="D138" s="13" t="s">
        <v>129</v>
      </c>
      <c r="E138" s="13" t="s">
        <v>111</v>
      </c>
      <c r="F138" s="13" t="s">
        <v>1148</v>
      </c>
      <c r="G138" s="13" t="s">
        <v>1149</v>
      </c>
      <c r="H138" s="13"/>
      <c r="I138" s="13" t="s">
        <v>1150</v>
      </c>
      <c r="J138" s="13" t="s">
        <v>1151</v>
      </c>
      <c r="K138" s="13" t="s">
        <v>1152</v>
      </c>
      <c r="L138" s="13" t="s">
        <v>248</v>
      </c>
      <c r="M138" s="13" t="s">
        <v>50</v>
      </c>
      <c r="N138" s="15" t="s">
        <v>34</v>
      </c>
      <c r="O138" s="15"/>
      <c r="P138" s="15"/>
      <c r="Q138" s="15"/>
      <c r="R138" s="15"/>
    </row>
    <row r="139" customFormat="false" ht="61.5" hidden="false" customHeight="true" outlineLevel="0" collapsed="false">
      <c r="A139" s="12" t="s">
        <v>1153</v>
      </c>
      <c r="B139" s="13" t="s">
        <v>1154</v>
      </c>
      <c r="C139" s="19" t="s">
        <v>43</v>
      </c>
      <c r="D139" s="13" t="s">
        <v>129</v>
      </c>
      <c r="E139" s="13" t="s">
        <v>111</v>
      </c>
      <c r="F139" s="13" t="s">
        <v>1155</v>
      </c>
      <c r="G139" s="13" t="s">
        <v>1156</v>
      </c>
      <c r="H139" s="13"/>
      <c r="I139" s="13" t="s">
        <v>1157</v>
      </c>
      <c r="J139" s="13" t="s">
        <v>1158</v>
      </c>
      <c r="K139" s="13" t="s">
        <v>1159</v>
      </c>
      <c r="L139" s="13" t="s">
        <v>1160</v>
      </c>
      <c r="M139" s="13" t="s">
        <v>48</v>
      </c>
      <c r="N139" s="15" t="s">
        <v>34</v>
      </c>
      <c r="O139" s="15"/>
      <c r="P139" s="15"/>
      <c r="Q139" s="15"/>
      <c r="R139" s="15"/>
    </row>
    <row r="140" customFormat="false" ht="61.5" hidden="false" customHeight="true" outlineLevel="0" collapsed="false">
      <c r="A140" s="12" t="s">
        <v>1161</v>
      </c>
      <c r="B140" s="13" t="s">
        <v>1162</v>
      </c>
      <c r="C140" s="17" t="s">
        <v>39</v>
      </c>
      <c r="D140" s="13" t="s">
        <v>742</v>
      </c>
      <c r="E140" s="13" t="s">
        <v>111</v>
      </c>
      <c r="F140" s="13" t="s">
        <v>1163</v>
      </c>
      <c r="G140" s="13" t="s">
        <v>1164</v>
      </c>
      <c r="H140" s="13"/>
      <c r="I140" s="13" t="s">
        <v>1165</v>
      </c>
      <c r="J140" s="13" t="s">
        <v>1166</v>
      </c>
      <c r="K140" s="13" t="s">
        <v>1167</v>
      </c>
      <c r="L140" s="13" t="s">
        <v>1168</v>
      </c>
      <c r="M140" s="13" t="s">
        <v>48</v>
      </c>
      <c r="N140" s="15" t="s">
        <v>34</v>
      </c>
      <c r="O140" s="15"/>
      <c r="P140" s="15"/>
      <c r="Q140" s="15"/>
      <c r="R140" s="15"/>
    </row>
    <row r="141" customFormat="false" ht="61.5" hidden="false" customHeight="true" outlineLevel="0" collapsed="false">
      <c r="A141" s="12" t="s">
        <v>1169</v>
      </c>
      <c r="B141" s="13" t="s">
        <v>1170</v>
      </c>
      <c r="C141" s="19" t="s">
        <v>43</v>
      </c>
      <c r="D141" s="13" t="s">
        <v>428</v>
      </c>
      <c r="E141" s="13" t="s">
        <v>140</v>
      </c>
      <c r="F141" s="13" t="s">
        <v>1171</v>
      </c>
      <c r="G141" s="13" t="s">
        <v>1172</v>
      </c>
      <c r="H141" s="13"/>
      <c r="I141" s="13" t="s">
        <v>1173</v>
      </c>
      <c r="J141" s="13" t="s">
        <v>1174</v>
      </c>
      <c r="K141" s="13" t="s">
        <v>1175</v>
      </c>
      <c r="L141" s="13" t="s">
        <v>1176</v>
      </c>
      <c r="M141" s="13" t="s">
        <v>48</v>
      </c>
      <c r="N141" s="15" t="s">
        <v>34</v>
      </c>
      <c r="O141" s="15"/>
      <c r="P141" s="15"/>
      <c r="Q141" s="15"/>
      <c r="R141" s="15"/>
    </row>
  </sheetData>
  <autoFilter ref="A2:R141"/>
  <conditionalFormatting sqref="N3:N141">
    <cfRule type="cellIs" priority="2" operator="equal" aboveAverage="0" equalAverage="0" bottom="0" percent="0" rank="0" text="" dxfId="12">
      <formula>"pass"</formula>
    </cfRule>
    <cfRule type="cellIs" priority="3" operator="equal" aboveAverage="0" equalAverage="0" bottom="0" percent="0" rank="0" text="" dxfId="13">
      <formula>"partial"</formula>
    </cfRule>
    <cfRule type="cellIs" priority="4" operator="equal" aboveAverage="0" equalAverage="0" bottom="0" percent="0" rank="0" text="" dxfId="14">
      <formula>"fail"</formula>
    </cfRule>
    <cfRule type="cellIs" priority="5" operator="equal" aboveAverage="0" equalAverage="0" bottom="0" percent="0" rank="0" text="" dxfId="15">
      <formula>"na"</formula>
    </cfRule>
    <cfRule type="cellIs" priority="6" operator="equal" aboveAverage="0" equalAverage="0" bottom="0" percent="0" rank="0" text="" dxfId="16">
      <formula>"unknown"</formula>
    </cfRule>
  </conditionalFormatting>
  <dataValidations count="1">
    <dataValidation allowBlank="false" error="Choose one of: unknown, pass, partial, fail, na" errorStyle="stop" errorTitle="Invalid result" operator="between" showDropDown="false" showErrorMessage="false" showInputMessage="false" sqref="N3:N141" type="list">
      <formula1>"unknown,pass,partial,fail,na"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6"/>
    <col collapsed="false" customWidth="true" hidden="false" outlineLevel="0" max="3" min="3" style="0" width="22"/>
    <col collapsed="false" customWidth="true" hidden="false" outlineLevel="0" max="4" min="4" style="0" width="26"/>
    <col collapsed="false" customWidth="true" hidden="false" outlineLevel="0" max="5" min="5" style="0" width="8"/>
    <col collapsed="false" customWidth="true" hidden="false" outlineLevel="0" max="6" min="6" style="0" width="62"/>
    <col collapsed="false" customWidth="true" hidden="false" outlineLevel="0" max="7" min="7" style="0" width="46"/>
    <col collapsed="false" customWidth="true" hidden="false" outlineLevel="0" max="8" min="8" style="0" width="34"/>
  </cols>
  <sheetData>
    <row r="1" customFormat="false" ht="17.35" hidden="false" customHeight="false" outlineLevel="0" collapsed="false">
      <c r="A1" s="1" t="s">
        <v>1191</v>
      </c>
    </row>
    <row r="3" customFormat="false" ht="15" hidden="false" customHeight="false" outlineLevel="0" collapsed="false">
      <c r="A3" s="21" t="s">
        <v>89</v>
      </c>
      <c r="B3" s="21" t="s">
        <v>55</v>
      </c>
      <c r="C3" s="21" t="s">
        <v>1192</v>
      </c>
      <c r="D3" s="21" t="s">
        <v>1193</v>
      </c>
      <c r="E3" s="21" t="s">
        <v>1194</v>
      </c>
      <c r="F3" s="21" t="s">
        <v>1195</v>
      </c>
      <c r="G3" s="21" t="s">
        <v>1196</v>
      </c>
      <c r="H3" s="21" t="s">
        <v>100</v>
      </c>
    </row>
    <row r="4" customFormat="false" ht="30" hidden="false" customHeight="true" outlineLevel="0" collapsed="false">
      <c r="A4" s="13" t="s">
        <v>127</v>
      </c>
      <c r="B4" s="13" t="s">
        <v>1197</v>
      </c>
      <c r="C4" s="13" t="s">
        <v>1198</v>
      </c>
      <c r="D4" s="13" t="s">
        <v>1199</v>
      </c>
      <c r="E4" s="13" t="s">
        <v>1200</v>
      </c>
      <c r="F4" s="13" t="s">
        <v>1201</v>
      </c>
      <c r="G4" s="13" t="s">
        <v>128</v>
      </c>
      <c r="H4" s="13" t="s">
        <v>137</v>
      </c>
    </row>
    <row r="5" customFormat="false" ht="30" hidden="false" customHeight="true" outlineLevel="0" collapsed="false">
      <c r="A5" s="13" t="s">
        <v>180</v>
      </c>
      <c r="B5" s="13" t="s">
        <v>1197</v>
      </c>
      <c r="C5" s="13" t="s">
        <v>11</v>
      </c>
      <c r="D5" s="13" t="s">
        <v>1202</v>
      </c>
      <c r="E5" s="13" t="s">
        <v>1203</v>
      </c>
      <c r="F5" s="13" t="s">
        <v>1204</v>
      </c>
      <c r="G5" s="13" t="s">
        <v>181</v>
      </c>
      <c r="H5" s="13" t="s">
        <v>188</v>
      </c>
    </row>
    <row r="6" customFormat="false" ht="30" hidden="false" customHeight="true" outlineLevel="0" collapsed="false">
      <c r="A6" s="13" t="s">
        <v>190</v>
      </c>
      <c r="B6" s="13" t="s">
        <v>1205</v>
      </c>
      <c r="C6" s="13" t="s">
        <v>1206</v>
      </c>
      <c r="D6" s="13" t="s">
        <v>1207</v>
      </c>
      <c r="E6" s="13" t="s">
        <v>1200</v>
      </c>
      <c r="F6" s="13" t="s">
        <v>1208</v>
      </c>
      <c r="G6" s="13" t="s">
        <v>191</v>
      </c>
      <c r="H6" s="13" t="s">
        <v>199</v>
      </c>
    </row>
    <row r="7" customFormat="false" ht="30" hidden="false" customHeight="true" outlineLevel="0" collapsed="false">
      <c r="A7" s="13" t="s">
        <v>208</v>
      </c>
      <c r="B7" s="13" t="s">
        <v>1205</v>
      </c>
      <c r="C7" s="13" t="s">
        <v>1209</v>
      </c>
      <c r="D7" s="13" t="s">
        <v>1210</v>
      </c>
      <c r="E7" s="13" t="s">
        <v>1200</v>
      </c>
      <c r="F7" s="13" t="s">
        <v>1211</v>
      </c>
      <c r="G7" s="13" t="s">
        <v>209</v>
      </c>
      <c r="H7" s="13" t="s">
        <v>218</v>
      </c>
    </row>
    <row r="8" customFormat="false" ht="30" hidden="false" customHeight="true" outlineLevel="0" collapsed="false">
      <c r="A8" s="13" t="s">
        <v>308</v>
      </c>
      <c r="B8" s="13" t="s">
        <v>1212</v>
      </c>
      <c r="C8" s="13" t="s">
        <v>1213</v>
      </c>
      <c r="D8" s="13" t="s">
        <v>1214</v>
      </c>
      <c r="E8" s="13" t="s">
        <v>1200</v>
      </c>
      <c r="F8" s="13" t="s">
        <v>1215</v>
      </c>
      <c r="G8" s="13" t="s">
        <v>309</v>
      </c>
      <c r="H8" s="13" t="s">
        <v>316</v>
      </c>
    </row>
    <row r="9" customFormat="false" ht="30" hidden="false" customHeight="true" outlineLevel="0" collapsed="false">
      <c r="A9" s="13" t="s">
        <v>317</v>
      </c>
      <c r="B9" s="13" t="s">
        <v>1212</v>
      </c>
      <c r="C9" s="13" t="s">
        <v>1216</v>
      </c>
      <c r="D9" s="13" t="s">
        <v>1217</v>
      </c>
      <c r="E9" s="13" t="s">
        <v>1200</v>
      </c>
      <c r="F9" s="13" t="s">
        <v>1218</v>
      </c>
      <c r="G9" s="13" t="s">
        <v>318</v>
      </c>
      <c r="H9" s="13" t="s">
        <v>316</v>
      </c>
    </row>
    <row r="10" customFormat="false" ht="30" hidden="false" customHeight="true" outlineLevel="0" collapsed="false">
      <c r="A10" s="13" t="s">
        <v>325</v>
      </c>
      <c r="B10" s="13" t="s">
        <v>1212</v>
      </c>
      <c r="C10" s="13" t="s">
        <v>1219</v>
      </c>
      <c r="D10" s="13" t="s">
        <v>1220</v>
      </c>
      <c r="E10" s="13" t="s">
        <v>1200</v>
      </c>
      <c r="F10" s="13" t="s">
        <v>1221</v>
      </c>
      <c r="G10" s="13" t="s">
        <v>326</v>
      </c>
      <c r="H10" s="13" t="s">
        <v>316</v>
      </c>
    </row>
    <row r="11" customFormat="false" ht="30" hidden="false" customHeight="true" outlineLevel="0" collapsed="false">
      <c r="A11" s="13" t="s">
        <v>411</v>
      </c>
      <c r="B11" s="13" t="s">
        <v>1212</v>
      </c>
      <c r="C11" s="13" t="s">
        <v>1222</v>
      </c>
      <c r="D11" s="13" t="s">
        <v>1223</v>
      </c>
      <c r="E11" s="13" t="s">
        <v>1200</v>
      </c>
      <c r="F11" s="13" t="s">
        <v>1224</v>
      </c>
      <c r="G11" s="13" t="s">
        <v>412</v>
      </c>
      <c r="H11" s="13" t="s">
        <v>316</v>
      </c>
    </row>
    <row r="12" customFormat="false" ht="30" hidden="false" customHeight="true" outlineLevel="0" collapsed="false">
      <c r="A12" s="13" t="s">
        <v>426</v>
      </c>
      <c r="B12" s="13" t="s">
        <v>1212</v>
      </c>
      <c r="C12" s="13" t="s">
        <v>1225</v>
      </c>
      <c r="D12" s="13" t="s">
        <v>1202</v>
      </c>
      <c r="E12" s="13" t="s">
        <v>1203</v>
      </c>
      <c r="F12" s="13" t="s">
        <v>1226</v>
      </c>
      <c r="G12" s="13" t="s">
        <v>427</v>
      </c>
      <c r="H12" s="13" t="s">
        <v>280</v>
      </c>
    </row>
    <row r="13" customFormat="false" ht="30" hidden="false" customHeight="true" outlineLevel="0" collapsed="false">
      <c r="A13" s="13" t="s">
        <v>449</v>
      </c>
      <c r="B13" s="13" t="s">
        <v>1212</v>
      </c>
      <c r="C13" s="13" t="s">
        <v>19</v>
      </c>
      <c r="D13" s="13" t="s">
        <v>1227</v>
      </c>
      <c r="E13" s="13" t="s">
        <v>1200</v>
      </c>
      <c r="F13" s="13"/>
      <c r="G13" s="13" t="s">
        <v>450</v>
      </c>
      <c r="H13" s="13" t="s">
        <v>179</v>
      </c>
    </row>
    <row r="14" customFormat="false" ht="30" hidden="false" customHeight="true" outlineLevel="0" collapsed="false">
      <c r="A14" s="13" t="s">
        <v>675</v>
      </c>
      <c r="B14" s="13" t="s">
        <v>1228</v>
      </c>
      <c r="C14" s="13" t="s">
        <v>1229</v>
      </c>
      <c r="D14" s="13" t="s">
        <v>1220</v>
      </c>
      <c r="E14" s="13" t="s">
        <v>1200</v>
      </c>
      <c r="F14" s="13" t="s">
        <v>1230</v>
      </c>
      <c r="G14" s="13" t="s">
        <v>676</v>
      </c>
      <c r="H14" s="13" t="s">
        <v>557</v>
      </c>
    </row>
    <row r="15" customFormat="false" ht="30" hidden="false" customHeight="true" outlineLevel="0" collapsed="false">
      <c r="A15" s="13" t="s">
        <v>549</v>
      </c>
      <c r="B15" s="13" t="s">
        <v>283</v>
      </c>
      <c r="C15" s="13" t="s">
        <v>1229</v>
      </c>
      <c r="D15" s="13" t="s">
        <v>1220</v>
      </c>
      <c r="E15" s="13" t="s">
        <v>1200</v>
      </c>
      <c r="F15" s="13" t="s">
        <v>1231</v>
      </c>
      <c r="G15" s="13" t="s">
        <v>550</v>
      </c>
      <c r="H15" s="13" t="s">
        <v>557</v>
      </c>
    </row>
    <row r="16" customFormat="false" ht="30" hidden="false" customHeight="true" outlineLevel="0" collapsed="false">
      <c r="A16" s="13" t="s">
        <v>587</v>
      </c>
      <c r="B16" s="13" t="s">
        <v>283</v>
      </c>
      <c r="C16" s="13" t="s">
        <v>1232</v>
      </c>
      <c r="D16" s="13" t="s">
        <v>1233</v>
      </c>
      <c r="E16" s="13" t="s">
        <v>1200</v>
      </c>
      <c r="F16" s="13" t="s">
        <v>1234</v>
      </c>
      <c r="G16" s="13" t="s">
        <v>588</v>
      </c>
      <c r="H16" s="13" t="s">
        <v>380</v>
      </c>
    </row>
    <row r="17" customFormat="false" ht="30" hidden="false" customHeight="true" outlineLevel="0" collapsed="false">
      <c r="A17" s="13" t="s">
        <v>807</v>
      </c>
      <c r="B17" s="13" t="s">
        <v>1235</v>
      </c>
      <c r="C17" s="13" t="s">
        <v>1236</v>
      </c>
      <c r="D17" s="13" t="s">
        <v>1237</v>
      </c>
      <c r="E17" s="13" t="s">
        <v>1203</v>
      </c>
      <c r="F17" s="13"/>
      <c r="G17" s="13" t="s">
        <v>808</v>
      </c>
      <c r="H17" s="13" t="s">
        <v>380</v>
      </c>
    </row>
    <row r="18" customFormat="false" ht="30" hidden="false" customHeight="true" outlineLevel="0" collapsed="false">
      <c r="A18" s="13" t="s">
        <v>815</v>
      </c>
      <c r="B18" s="13" t="s">
        <v>1235</v>
      </c>
      <c r="C18" s="13" t="s">
        <v>15</v>
      </c>
      <c r="D18" s="13" t="s">
        <v>1238</v>
      </c>
      <c r="E18" s="13" t="s">
        <v>1200</v>
      </c>
      <c r="F18" s="13"/>
      <c r="G18" s="13" t="s">
        <v>816</v>
      </c>
      <c r="H18" s="13" t="s">
        <v>380</v>
      </c>
    </row>
    <row r="19" customFormat="false" ht="30" hidden="false" customHeight="true" outlineLevel="0" collapsed="false">
      <c r="A19" s="13" t="s">
        <v>896</v>
      </c>
      <c r="B19" s="13" t="s">
        <v>1239</v>
      </c>
      <c r="C19" s="13" t="s">
        <v>1219</v>
      </c>
      <c r="D19" s="13" t="s">
        <v>1240</v>
      </c>
      <c r="E19" s="13" t="s">
        <v>1200</v>
      </c>
      <c r="F19" s="13"/>
      <c r="G19" s="13" t="s">
        <v>897</v>
      </c>
      <c r="H19" s="13" t="s">
        <v>904</v>
      </c>
    </row>
    <row r="20" customFormat="false" ht="30" hidden="false" customHeight="true" outlineLevel="0" collapsed="false">
      <c r="A20" s="13" t="s">
        <v>905</v>
      </c>
      <c r="B20" s="13" t="s">
        <v>1239</v>
      </c>
      <c r="C20" s="13" t="s">
        <v>1241</v>
      </c>
      <c r="D20" s="13" t="s">
        <v>1242</v>
      </c>
      <c r="E20" s="13" t="s">
        <v>1200</v>
      </c>
      <c r="F20" s="13"/>
      <c r="G20" s="13" t="s">
        <v>906</v>
      </c>
      <c r="H20" s="13" t="s">
        <v>179</v>
      </c>
    </row>
  </sheetData>
  <autoFilter ref="A3:H2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56"/>
    <col collapsed="false" customWidth="true" hidden="false" outlineLevel="0" max="3" min="3" style="0" width="76"/>
    <col collapsed="false" customWidth="true" hidden="false" outlineLevel="0" max="4" min="4" style="0" width="13"/>
    <col collapsed="false" customWidth="true" hidden="false" outlineLevel="0" max="5" min="5" style="0" width="70"/>
  </cols>
  <sheetData>
    <row r="1" customFormat="false" ht="17.35" hidden="false" customHeight="false" outlineLevel="0" collapsed="false">
      <c r="A1" s="1" t="s">
        <v>1243</v>
      </c>
    </row>
    <row r="3" customFormat="false" ht="15" hidden="false" customHeight="false" outlineLevel="0" collapsed="false">
      <c r="A3" s="22" t="s">
        <v>1244</v>
      </c>
      <c r="B3" s="22" t="s">
        <v>90</v>
      </c>
      <c r="C3" s="22" t="s">
        <v>1245</v>
      </c>
      <c r="D3" s="22" t="s">
        <v>1246</v>
      </c>
      <c r="E3" s="22" t="s">
        <v>1247</v>
      </c>
    </row>
    <row r="4" customFormat="false" ht="30" hidden="false" customHeight="true" outlineLevel="0" collapsed="false">
      <c r="A4" s="3" t="s">
        <v>1248</v>
      </c>
      <c r="B4" s="3" t="s">
        <v>480</v>
      </c>
      <c r="C4" s="23" t="s">
        <v>1249</v>
      </c>
      <c r="D4" s="3" t="s">
        <v>7</v>
      </c>
      <c r="E4" s="3"/>
    </row>
    <row r="5" customFormat="false" ht="30" hidden="false" customHeight="true" outlineLevel="0" collapsed="false">
      <c r="A5" s="3" t="s">
        <v>1250</v>
      </c>
      <c r="B5" s="3" t="s">
        <v>280</v>
      </c>
      <c r="C5" s="23" t="s">
        <v>1251</v>
      </c>
      <c r="D5" s="3" t="s">
        <v>7</v>
      </c>
      <c r="E5" s="3"/>
    </row>
    <row r="6" customFormat="false" ht="30" hidden="false" customHeight="true" outlineLevel="0" collapsed="false">
      <c r="A6" s="3" t="s">
        <v>1252</v>
      </c>
      <c r="B6" s="3" t="s">
        <v>316</v>
      </c>
      <c r="C6" s="23" t="s">
        <v>1253</v>
      </c>
      <c r="D6" s="3" t="s">
        <v>7</v>
      </c>
      <c r="E6" s="3"/>
    </row>
    <row r="7" customFormat="false" ht="30" hidden="false" customHeight="true" outlineLevel="0" collapsed="false">
      <c r="A7" s="3" t="s">
        <v>1254</v>
      </c>
      <c r="B7" s="3" t="s">
        <v>256</v>
      </c>
      <c r="C7" s="23" t="s">
        <v>1255</v>
      </c>
      <c r="D7" s="3" t="s">
        <v>7</v>
      </c>
      <c r="E7" s="3"/>
    </row>
    <row r="8" customFormat="false" ht="30" hidden="false" customHeight="true" outlineLevel="0" collapsed="false">
      <c r="A8" s="3" t="s">
        <v>1256</v>
      </c>
      <c r="B8" s="3" t="s">
        <v>297</v>
      </c>
      <c r="C8" s="23" t="s">
        <v>1257</v>
      </c>
      <c r="D8" s="3" t="s">
        <v>7</v>
      </c>
      <c r="E8" s="3"/>
    </row>
    <row r="9" customFormat="false" ht="30" hidden="false" customHeight="true" outlineLevel="0" collapsed="false">
      <c r="A9" s="3" t="s">
        <v>1258</v>
      </c>
      <c r="B9" s="3" t="s">
        <v>170</v>
      </c>
      <c r="C9" s="23" t="s">
        <v>1259</v>
      </c>
      <c r="D9" s="3" t="s">
        <v>7</v>
      </c>
      <c r="E9" s="3"/>
    </row>
    <row r="10" customFormat="false" ht="30" hidden="false" customHeight="true" outlineLevel="0" collapsed="false">
      <c r="A10" s="3" t="s">
        <v>1260</v>
      </c>
      <c r="B10" s="3" t="s">
        <v>1261</v>
      </c>
      <c r="C10" s="23" t="s">
        <v>1262</v>
      </c>
      <c r="D10" s="3" t="s">
        <v>7</v>
      </c>
      <c r="E10" s="3"/>
    </row>
    <row r="11" customFormat="false" ht="30" hidden="false" customHeight="true" outlineLevel="0" collapsed="false">
      <c r="A11" s="3" t="s">
        <v>1263</v>
      </c>
      <c r="B11" s="3" t="s">
        <v>1264</v>
      </c>
      <c r="C11" s="23" t="s">
        <v>1265</v>
      </c>
      <c r="D11" s="3" t="s">
        <v>7</v>
      </c>
      <c r="E11" s="3"/>
    </row>
    <row r="12" customFormat="false" ht="30" hidden="false" customHeight="true" outlineLevel="0" collapsed="false">
      <c r="A12" s="3" t="s">
        <v>1266</v>
      </c>
      <c r="B12" s="3" t="s">
        <v>179</v>
      </c>
      <c r="C12" s="23" t="s">
        <v>1267</v>
      </c>
      <c r="D12" s="3" t="s">
        <v>7</v>
      </c>
      <c r="E12" s="3"/>
    </row>
    <row r="13" customFormat="false" ht="30" hidden="false" customHeight="true" outlineLevel="0" collapsed="false">
      <c r="A13" s="3" t="s">
        <v>1268</v>
      </c>
      <c r="B13" s="3" t="s">
        <v>364</v>
      </c>
      <c r="C13" s="23" t="s">
        <v>1269</v>
      </c>
      <c r="D13" s="3" t="s">
        <v>7</v>
      </c>
      <c r="E13" s="3"/>
    </row>
    <row r="14" customFormat="false" ht="30" hidden="false" customHeight="true" outlineLevel="0" collapsed="false">
      <c r="A14" s="3" t="s">
        <v>1270</v>
      </c>
      <c r="B14" s="3" t="s">
        <v>380</v>
      </c>
      <c r="C14" s="23" t="s">
        <v>1271</v>
      </c>
      <c r="D14" s="3" t="s">
        <v>7</v>
      </c>
      <c r="E14" s="3"/>
    </row>
    <row r="15" customFormat="false" ht="30" hidden="false" customHeight="true" outlineLevel="0" collapsed="false">
      <c r="A15" s="3" t="s">
        <v>1272</v>
      </c>
      <c r="B15" s="3" t="s">
        <v>188</v>
      </c>
      <c r="C15" s="23" t="s">
        <v>1273</v>
      </c>
      <c r="D15" s="3" t="s">
        <v>7</v>
      </c>
      <c r="E15" s="3"/>
    </row>
    <row r="16" customFormat="false" ht="30" hidden="false" customHeight="true" outlineLevel="0" collapsed="false">
      <c r="A16" s="3" t="s">
        <v>1274</v>
      </c>
      <c r="B16" s="3" t="s">
        <v>218</v>
      </c>
      <c r="C16" s="23" t="s">
        <v>1275</v>
      </c>
      <c r="D16" s="3" t="s">
        <v>7</v>
      </c>
      <c r="E16" s="3"/>
    </row>
    <row r="17" customFormat="false" ht="30" hidden="false" customHeight="true" outlineLevel="0" collapsed="false">
      <c r="A17" s="3" t="s">
        <v>1276</v>
      </c>
      <c r="B17" s="3" t="s">
        <v>248</v>
      </c>
      <c r="C17" s="3" t="s">
        <v>1277</v>
      </c>
      <c r="D17" s="3" t="s">
        <v>7</v>
      </c>
      <c r="E17" s="3" t="s">
        <v>1278</v>
      </c>
    </row>
    <row r="18" customFormat="false" ht="30" hidden="false" customHeight="true" outlineLevel="0" collapsed="false">
      <c r="A18" s="3" t="s">
        <v>1279</v>
      </c>
      <c r="B18" s="3" t="s">
        <v>1280</v>
      </c>
      <c r="C18" s="23" t="s">
        <v>1281</v>
      </c>
      <c r="D18" s="3" t="s">
        <v>7</v>
      </c>
      <c r="E18" s="3" t="s">
        <v>1282</v>
      </c>
    </row>
    <row r="19" customFormat="false" ht="30" hidden="false" customHeight="true" outlineLevel="0" collapsed="false">
      <c r="A19" s="3" t="s">
        <v>1283</v>
      </c>
      <c r="B19" s="3" t="s">
        <v>1085</v>
      </c>
      <c r="C19" s="23" t="s">
        <v>1284</v>
      </c>
      <c r="D19" s="3" t="s">
        <v>7</v>
      </c>
      <c r="E19" s="3"/>
    </row>
    <row r="20" customFormat="false" ht="30" hidden="false" customHeight="true" outlineLevel="0" collapsed="false">
      <c r="A20" s="3" t="s">
        <v>1285</v>
      </c>
      <c r="B20" s="3" t="s">
        <v>1286</v>
      </c>
      <c r="C20" s="23" t="s">
        <v>1287</v>
      </c>
      <c r="D20" s="3" t="s">
        <v>7</v>
      </c>
      <c r="E20" s="3" t="s">
        <v>1288</v>
      </c>
    </row>
  </sheetData>
  <hyperlinks>
    <hyperlink ref="C4" r:id="rId1" display="https://learn.microsoft.com/en-us/power-bi/create-reports/copilot-evaluate-data"/>
    <hyperlink ref="C5" r:id="rId2" display="https://learn.microsoft.com/en-us/power-bi/create-reports/copilot-prepare-data-ai"/>
    <hyperlink ref="C6" r:id="rId3" display="https://learn.microsoft.com/en-us/power-bi/create-reports/copilot-prepare-data-ai-faq"/>
    <hyperlink ref="C7" r:id="rId4" display="https://learn.microsoft.com/en-us/power-bi/create-reports/copilot-semantic-models"/>
    <hyperlink ref="C8" r:id="rId5" display="https://learn.microsoft.com/en-us/power-bi/create-reports/tutorial-copilot-power-bi-prepare-model"/>
    <hyperlink ref="C9" r:id="rId6" display="https://learn.microsoft.com/en-us/power-bi/create-reports/copilot-enable-power-bi"/>
    <hyperlink ref="C10" r:id="rId7" display="https://learn.microsoft.com/en-us/fabric/fundamentals/copilot-fabric-overview"/>
    <hyperlink ref="C11" r:id="rId8" display="https://learn.microsoft.com/en-us/fabric/admin/service-admin-portal-copilot"/>
    <hyperlink ref="C12" r:id="rId9" display="https://learn.microsoft.com/en-us/fabric/data-science/concept-data-agent"/>
    <hyperlink ref="C13" r:id="rId10" display="https://learn.microsoft.com/en-us/fabric/data-science/data-agent-configuration-best-practices"/>
    <hyperlink ref="C14" r:id="rId11" display="https://learn.microsoft.com/en-us/fabric/data-science/semantic-model-best-practices"/>
    <hyperlink ref="C15" r:id="rId12" display="https://learn.microsoft.com/en-us/fabric/data-science/data-agent-tenant-settings"/>
    <hyperlink ref="C16" r:id="rId13" display="https://learn.microsoft.com/en-us/fabric/fundamentals/data-agent-consumption"/>
    <hyperlink ref="C18" r:id="rId14" display="https://github.com/Azure-Samples/chat-with-your-data-solution-accelerator"/>
    <hyperlink ref="C19" r:id="rId15" display="https://github.com/Azure-Samples/chat-with-your-data-solution-accelerator/blob/main/docs/best_practices.md"/>
    <hyperlink ref="C20" r:id="rId16" display="https://github.com/microsoft/rag-experiment-accelerato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2026-09-10T20:41:52Z</dcterms:created>
  <dc:creator>openpyxl</dc:creator>
  <dc:description/>
  <dc:language>en-US</dc:language>
  <cp:lastModifiedBy/>
  <dcterms:modified xsi:type="dcterms:W3CDTF">2026-09-10T20:41:52Z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